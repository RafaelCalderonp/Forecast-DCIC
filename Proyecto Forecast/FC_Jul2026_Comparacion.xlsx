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5f545b2dd4f507/Escritorio/Proyecto Forecast/"/>
    </mc:Choice>
  </mc:AlternateContent>
  <xr:revisionPtr revIDLastSave="33" documentId="11_23696362535509BA3F8ADA514D5ED87656C85802" xr6:coauthVersionLast="47" xr6:coauthVersionMax="47" xr10:uidLastSave="{50F8A9E2-0752-4A2D-BFB2-6C43B3CC35C6}"/>
  <bookViews>
    <workbookView xWindow="-19310" yWindow="-1460" windowWidth="19420" windowHeight="10300" activeTab="1" xr2:uid="{00000000-000D-0000-FFFF-FFFF00000000}"/>
  </bookViews>
  <sheets>
    <sheet name="FC Jul 2026 - Sistema" sheetId="1" r:id="rId1"/>
    <sheet name="Hoja1" sheetId="2" r:id="rId2"/>
  </sheets>
  <externalReferences>
    <externalReference r:id="rId3"/>
  </externalReferences>
  <definedNames>
    <definedName name="_xlnm._FilterDatabase" localSheetId="0" hidden="1">'FC Jul 2026 - Sistema'!$A$2:$K$929</definedName>
    <definedName name="_xlnm._FilterDatabase" localSheetId="1" hidden="1">Hoja1!$B$1:$E$715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E38" i="2"/>
  <c r="E39" i="2"/>
  <c r="E40" i="2"/>
  <c r="E42" i="2"/>
  <c r="E43" i="2"/>
  <c r="E44" i="2"/>
  <c r="E45" i="2"/>
  <c r="E46" i="2"/>
  <c r="E59" i="2"/>
  <c r="E60" i="2"/>
  <c r="E65" i="2"/>
  <c r="E66" i="2"/>
  <c r="E67" i="2"/>
  <c r="E81" i="2"/>
  <c r="E82" i="2"/>
  <c r="E88" i="2"/>
  <c r="E103" i="2"/>
  <c r="E104" i="2"/>
  <c r="E105" i="2"/>
  <c r="E106" i="2"/>
  <c r="E112" i="2"/>
  <c r="E125" i="2"/>
  <c r="E127" i="2"/>
  <c r="E128" i="2"/>
  <c r="E129" i="2"/>
  <c r="E130" i="2"/>
  <c r="E131" i="2"/>
  <c r="E132" i="2"/>
  <c r="E133" i="2"/>
  <c r="E148" i="2"/>
  <c r="E169" i="2"/>
  <c r="E170" i="2"/>
  <c r="E173" i="2"/>
  <c r="E174" i="2"/>
  <c r="E176" i="2"/>
  <c r="E177" i="2"/>
  <c r="E178" i="2"/>
  <c r="E191" i="2"/>
  <c r="E192" i="2"/>
  <c r="E193" i="2"/>
  <c r="E194" i="2"/>
  <c r="E195" i="2"/>
  <c r="E196" i="2"/>
  <c r="E220" i="2"/>
  <c r="E236" i="2"/>
  <c r="E237" i="2"/>
  <c r="E239" i="2"/>
  <c r="E240" i="2"/>
  <c r="E241" i="2"/>
  <c r="E242" i="2"/>
  <c r="E243" i="2"/>
  <c r="E244" i="2"/>
  <c r="E261" i="2"/>
  <c r="E262" i="2"/>
  <c r="E263" i="2"/>
  <c r="E280" i="2"/>
  <c r="E301" i="2"/>
  <c r="E302" i="2"/>
  <c r="E307" i="2"/>
  <c r="E308" i="2"/>
  <c r="E309" i="2"/>
  <c r="E323" i="2"/>
  <c r="E324" i="2"/>
  <c r="E325" i="2"/>
  <c r="E326" i="2"/>
  <c r="E327" i="2"/>
  <c r="E345" i="2"/>
  <c r="E346" i="2"/>
  <c r="E347" i="2"/>
  <c r="E348" i="2"/>
  <c r="E367" i="2"/>
  <c r="E369" i="2"/>
  <c r="E370" i="2"/>
  <c r="E371" i="2"/>
  <c r="E372" i="2"/>
  <c r="E373" i="2"/>
  <c r="E374" i="2"/>
  <c r="E375" i="2"/>
  <c r="E376" i="2"/>
  <c r="E389" i="2"/>
  <c r="E390" i="2"/>
  <c r="E412" i="2"/>
  <c r="E413" i="2"/>
  <c r="E416" i="2"/>
  <c r="E418" i="2"/>
  <c r="E419" i="2"/>
  <c r="E434" i="2"/>
  <c r="E435" i="2"/>
  <c r="E436" i="2"/>
  <c r="E437" i="2"/>
  <c r="E438" i="2"/>
  <c r="E439" i="2"/>
  <c r="E440" i="2"/>
  <c r="E441" i="2"/>
  <c r="E459" i="2"/>
  <c r="E478" i="2"/>
  <c r="E479" i="2"/>
  <c r="E480" i="2"/>
  <c r="E482" i="2"/>
  <c r="E484" i="2"/>
  <c r="E485" i="2"/>
  <c r="E500" i="2"/>
  <c r="E501" i="2"/>
  <c r="E502" i="2"/>
  <c r="E507" i="2"/>
  <c r="E508" i="2"/>
  <c r="E522" i="2"/>
  <c r="E524" i="2"/>
  <c r="E525" i="2"/>
  <c r="E526" i="2"/>
  <c r="E544" i="2"/>
  <c r="E546" i="2"/>
  <c r="E548" i="2"/>
  <c r="E568" i="2"/>
  <c r="E570" i="2"/>
  <c r="E572" i="2"/>
  <c r="E573" i="2"/>
  <c r="E574" i="2"/>
  <c r="E588" i="2"/>
  <c r="E589" i="2"/>
  <c r="E590" i="2"/>
  <c r="E591" i="2"/>
  <c r="E592" i="2"/>
  <c r="E633" i="2"/>
  <c r="E636" i="2"/>
  <c r="E637" i="2"/>
  <c r="E639" i="2"/>
  <c r="E640" i="2"/>
  <c r="E655" i="2"/>
  <c r="E656" i="2"/>
  <c r="E657" i="2"/>
  <c r="E658" i="2"/>
  <c r="E659" i="2"/>
  <c r="E660" i="2"/>
  <c r="E661" i="2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D38" i="2"/>
  <c r="D39" i="2"/>
  <c r="D40" i="2"/>
  <c r="D41" i="2"/>
  <c r="E41" i="2" s="1"/>
  <c r="D42" i="2"/>
  <c r="D43" i="2"/>
  <c r="D44" i="2"/>
  <c r="D45" i="2"/>
  <c r="D46" i="2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D60" i="2"/>
  <c r="D61" i="2"/>
  <c r="E61" i="2" s="1"/>
  <c r="D62" i="2"/>
  <c r="E62" i="2" s="1"/>
  <c r="D63" i="2"/>
  <c r="E63" i="2" s="1"/>
  <c r="D64" i="2"/>
  <c r="E64" i="2" s="1"/>
  <c r="D65" i="2"/>
  <c r="D66" i="2"/>
  <c r="D67" i="2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D82" i="2"/>
  <c r="D83" i="2"/>
  <c r="E83" i="2" s="1"/>
  <c r="D84" i="2"/>
  <c r="E84" i="2" s="1"/>
  <c r="D85" i="2"/>
  <c r="E85" i="2" s="1"/>
  <c r="D86" i="2"/>
  <c r="E86" i="2" s="1"/>
  <c r="D87" i="2"/>
  <c r="E87" i="2" s="1"/>
  <c r="D88" i="2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D104" i="2"/>
  <c r="D105" i="2"/>
  <c r="D106" i="2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D126" i="2"/>
  <c r="E126" i="2" s="1"/>
  <c r="D127" i="2"/>
  <c r="D128" i="2"/>
  <c r="D129" i="2"/>
  <c r="D130" i="2"/>
  <c r="D131" i="2"/>
  <c r="D132" i="2"/>
  <c r="D133" i="2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D170" i="2"/>
  <c r="D171" i="2"/>
  <c r="E171" i="2" s="1"/>
  <c r="D172" i="2"/>
  <c r="E172" i="2" s="1"/>
  <c r="D173" i="2"/>
  <c r="D174" i="2"/>
  <c r="D175" i="2"/>
  <c r="E175" i="2" s="1"/>
  <c r="D176" i="2"/>
  <c r="D177" i="2"/>
  <c r="D178" i="2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D192" i="2"/>
  <c r="D193" i="2"/>
  <c r="D194" i="2"/>
  <c r="D195" i="2"/>
  <c r="D196" i="2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D237" i="2"/>
  <c r="D238" i="2"/>
  <c r="E238" i="2" s="1"/>
  <c r="D239" i="2"/>
  <c r="D240" i="2"/>
  <c r="D241" i="2"/>
  <c r="D242" i="2"/>
  <c r="D243" i="2"/>
  <c r="D244" i="2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D262" i="2"/>
  <c r="D263" i="2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D302" i="2"/>
  <c r="D303" i="2"/>
  <c r="E303" i="2" s="1"/>
  <c r="D304" i="2"/>
  <c r="E304" i="2" s="1"/>
  <c r="D305" i="2"/>
  <c r="E305" i="2" s="1"/>
  <c r="D306" i="2"/>
  <c r="E306" i="2" s="1"/>
  <c r="D307" i="2"/>
  <c r="D308" i="2"/>
  <c r="D309" i="2"/>
  <c r="D310" i="2"/>
  <c r="E310" i="2" s="1"/>
  <c r="D311" i="2"/>
  <c r="E311" i="2" s="1"/>
  <c r="D312" i="2"/>
  <c r="E312" i="2" s="1"/>
  <c r="D313" i="2"/>
  <c r="E313" i="2" s="1"/>
  <c r="D314" i="2"/>
  <c r="E314" i="2" s="1"/>
  <c r="D315" i="2"/>
  <c r="E315" i="2" s="1"/>
  <c r="D316" i="2"/>
  <c r="E316" i="2" s="1"/>
  <c r="D317" i="2"/>
  <c r="E317" i="2" s="1"/>
  <c r="D318" i="2"/>
  <c r="E318" i="2" s="1"/>
  <c r="D319" i="2"/>
  <c r="E319" i="2" s="1"/>
  <c r="D320" i="2"/>
  <c r="E320" i="2" s="1"/>
  <c r="D321" i="2"/>
  <c r="E321" i="2" s="1"/>
  <c r="D322" i="2"/>
  <c r="E322" i="2" s="1"/>
  <c r="D323" i="2"/>
  <c r="D324" i="2"/>
  <c r="D325" i="2"/>
  <c r="D326" i="2"/>
  <c r="D327" i="2"/>
  <c r="D328" i="2"/>
  <c r="E328" i="2" s="1"/>
  <c r="D329" i="2"/>
  <c r="E329" i="2" s="1"/>
  <c r="D330" i="2"/>
  <c r="E330" i="2" s="1"/>
  <c r="D331" i="2"/>
  <c r="E331" i="2" s="1"/>
  <c r="D332" i="2"/>
  <c r="E332" i="2" s="1"/>
  <c r="D333" i="2"/>
  <c r="E333" i="2" s="1"/>
  <c r="D334" i="2"/>
  <c r="E334" i="2" s="1"/>
  <c r="D335" i="2"/>
  <c r="E335" i="2" s="1"/>
  <c r="D336" i="2"/>
  <c r="E336" i="2" s="1"/>
  <c r="D337" i="2"/>
  <c r="E337" i="2" s="1"/>
  <c r="D338" i="2"/>
  <c r="E338" i="2" s="1"/>
  <c r="D339" i="2"/>
  <c r="E339" i="2" s="1"/>
  <c r="D340" i="2"/>
  <c r="E340" i="2" s="1"/>
  <c r="D341" i="2"/>
  <c r="E341" i="2" s="1"/>
  <c r="D342" i="2"/>
  <c r="E342" i="2" s="1"/>
  <c r="D343" i="2"/>
  <c r="E343" i="2" s="1"/>
  <c r="D344" i="2"/>
  <c r="E344" i="2" s="1"/>
  <c r="D345" i="2"/>
  <c r="D346" i="2"/>
  <c r="D347" i="2"/>
  <c r="D348" i="2"/>
  <c r="D349" i="2"/>
  <c r="E349" i="2" s="1"/>
  <c r="D350" i="2"/>
  <c r="E350" i="2" s="1"/>
  <c r="D351" i="2"/>
  <c r="E351" i="2" s="1"/>
  <c r="D352" i="2"/>
  <c r="E352" i="2" s="1"/>
  <c r="D353" i="2"/>
  <c r="E353" i="2" s="1"/>
  <c r="D354" i="2"/>
  <c r="E354" i="2" s="1"/>
  <c r="D355" i="2"/>
  <c r="E355" i="2" s="1"/>
  <c r="D356" i="2"/>
  <c r="E356" i="2" s="1"/>
  <c r="D357" i="2"/>
  <c r="E357" i="2" s="1"/>
  <c r="D358" i="2"/>
  <c r="E358" i="2" s="1"/>
  <c r="D359" i="2"/>
  <c r="E359" i="2" s="1"/>
  <c r="D360" i="2"/>
  <c r="E360" i="2" s="1"/>
  <c r="D361" i="2"/>
  <c r="E361" i="2" s="1"/>
  <c r="D362" i="2"/>
  <c r="E362" i="2" s="1"/>
  <c r="D363" i="2"/>
  <c r="E363" i="2" s="1"/>
  <c r="D364" i="2"/>
  <c r="E364" i="2" s="1"/>
  <c r="D365" i="2"/>
  <c r="E365" i="2" s="1"/>
  <c r="D366" i="2"/>
  <c r="E366" i="2" s="1"/>
  <c r="D367" i="2"/>
  <c r="D368" i="2"/>
  <c r="E368" i="2" s="1"/>
  <c r="D369" i="2"/>
  <c r="D370" i="2"/>
  <c r="D371" i="2"/>
  <c r="D372" i="2"/>
  <c r="D373" i="2"/>
  <c r="D374" i="2"/>
  <c r="D375" i="2"/>
  <c r="D376" i="2"/>
  <c r="D377" i="2"/>
  <c r="E377" i="2" s="1"/>
  <c r="D378" i="2"/>
  <c r="E378" i="2" s="1"/>
  <c r="D379" i="2"/>
  <c r="E379" i="2" s="1"/>
  <c r="D380" i="2"/>
  <c r="E380" i="2" s="1"/>
  <c r="D381" i="2"/>
  <c r="E381" i="2" s="1"/>
  <c r="D382" i="2"/>
  <c r="E382" i="2" s="1"/>
  <c r="D383" i="2"/>
  <c r="E383" i="2" s="1"/>
  <c r="D384" i="2"/>
  <c r="E384" i="2" s="1"/>
  <c r="D385" i="2"/>
  <c r="E385" i="2" s="1"/>
  <c r="D386" i="2"/>
  <c r="E386" i="2" s="1"/>
  <c r="D387" i="2"/>
  <c r="E387" i="2" s="1"/>
  <c r="D388" i="2"/>
  <c r="E388" i="2" s="1"/>
  <c r="D389" i="2"/>
  <c r="D390" i="2"/>
  <c r="D391" i="2"/>
  <c r="E391" i="2" s="1"/>
  <c r="D392" i="2"/>
  <c r="E392" i="2" s="1"/>
  <c r="D393" i="2"/>
  <c r="E393" i="2" s="1"/>
  <c r="D394" i="2"/>
  <c r="E394" i="2" s="1"/>
  <c r="D395" i="2"/>
  <c r="E395" i="2" s="1"/>
  <c r="D396" i="2"/>
  <c r="E396" i="2" s="1"/>
  <c r="D397" i="2"/>
  <c r="E397" i="2" s="1"/>
  <c r="D398" i="2"/>
  <c r="E398" i="2" s="1"/>
  <c r="D399" i="2"/>
  <c r="E399" i="2" s="1"/>
  <c r="D400" i="2"/>
  <c r="E400" i="2" s="1"/>
  <c r="D401" i="2"/>
  <c r="E401" i="2" s="1"/>
  <c r="D402" i="2"/>
  <c r="E402" i="2" s="1"/>
  <c r="D403" i="2"/>
  <c r="E403" i="2" s="1"/>
  <c r="D404" i="2"/>
  <c r="E404" i="2" s="1"/>
  <c r="D405" i="2"/>
  <c r="E405" i="2" s="1"/>
  <c r="D406" i="2"/>
  <c r="E406" i="2" s="1"/>
  <c r="D407" i="2"/>
  <c r="E407" i="2" s="1"/>
  <c r="D408" i="2"/>
  <c r="E408" i="2" s="1"/>
  <c r="D409" i="2"/>
  <c r="E409" i="2" s="1"/>
  <c r="D410" i="2"/>
  <c r="E410" i="2" s="1"/>
  <c r="D411" i="2"/>
  <c r="E411" i="2" s="1"/>
  <c r="D412" i="2"/>
  <c r="D413" i="2"/>
  <c r="D414" i="2"/>
  <c r="E414" i="2" s="1"/>
  <c r="D415" i="2"/>
  <c r="E415" i="2" s="1"/>
  <c r="D416" i="2"/>
  <c r="D417" i="2"/>
  <c r="E417" i="2" s="1"/>
  <c r="D418" i="2"/>
  <c r="D419" i="2"/>
  <c r="D420" i="2"/>
  <c r="E420" i="2" s="1"/>
  <c r="D421" i="2"/>
  <c r="E421" i="2" s="1"/>
  <c r="D422" i="2"/>
  <c r="E422" i="2" s="1"/>
  <c r="D423" i="2"/>
  <c r="E423" i="2" s="1"/>
  <c r="D424" i="2"/>
  <c r="E424" i="2" s="1"/>
  <c r="D425" i="2"/>
  <c r="E425" i="2" s="1"/>
  <c r="D426" i="2"/>
  <c r="E426" i="2" s="1"/>
  <c r="D427" i="2"/>
  <c r="E427" i="2" s="1"/>
  <c r="D428" i="2"/>
  <c r="E428" i="2" s="1"/>
  <c r="D429" i="2"/>
  <c r="E429" i="2" s="1"/>
  <c r="D430" i="2"/>
  <c r="E430" i="2" s="1"/>
  <c r="D431" i="2"/>
  <c r="E431" i="2" s="1"/>
  <c r="D432" i="2"/>
  <c r="E432" i="2" s="1"/>
  <c r="D433" i="2"/>
  <c r="E433" i="2" s="1"/>
  <c r="D434" i="2"/>
  <c r="D435" i="2"/>
  <c r="D436" i="2"/>
  <c r="D437" i="2"/>
  <c r="D438" i="2"/>
  <c r="D439" i="2"/>
  <c r="D440" i="2"/>
  <c r="D441" i="2"/>
  <c r="D442" i="2"/>
  <c r="E442" i="2" s="1"/>
  <c r="D443" i="2"/>
  <c r="E443" i="2" s="1"/>
  <c r="D444" i="2"/>
  <c r="E444" i="2" s="1"/>
  <c r="D445" i="2"/>
  <c r="E445" i="2" s="1"/>
  <c r="D446" i="2"/>
  <c r="E446" i="2" s="1"/>
  <c r="D447" i="2"/>
  <c r="E447" i="2" s="1"/>
  <c r="D448" i="2"/>
  <c r="E448" i="2" s="1"/>
  <c r="D449" i="2"/>
  <c r="E449" i="2" s="1"/>
  <c r="D450" i="2"/>
  <c r="E450" i="2" s="1"/>
  <c r="D451" i="2"/>
  <c r="E451" i="2" s="1"/>
  <c r="D452" i="2"/>
  <c r="E452" i="2" s="1"/>
  <c r="D453" i="2"/>
  <c r="E453" i="2" s="1"/>
  <c r="D454" i="2"/>
  <c r="E454" i="2" s="1"/>
  <c r="D455" i="2"/>
  <c r="E455" i="2" s="1"/>
  <c r="D456" i="2"/>
  <c r="E456" i="2" s="1"/>
  <c r="D457" i="2"/>
  <c r="E457" i="2" s="1"/>
  <c r="D458" i="2"/>
  <c r="E458" i="2" s="1"/>
  <c r="D459" i="2"/>
  <c r="D460" i="2"/>
  <c r="E460" i="2" s="1"/>
  <c r="D461" i="2"/>
  <c r="E461" i="2" s="1"/>
  <c r="D462" i="2"/>
  <c r="E462" i="2" s="1"/>
  <c r="D463" i="2"/>
  <c r="E463" i="2" s="1"/>
  <c r="D464" i="2"/>
  <c r="E464" i="2" s="1"/>
  <c r="D465" i="2"/>
  <c r="E465" i="2" s="1"/>
  <c r="D466" i="2"/>
  <c r="E466" i="2" s="1"/>
  <c r="D467" i="2"/>
  <c r="E467" i="2" s="1"/>
  <c r="D468" i="2"/>
  <c r="E468" i="2" s="1"/>
  <c r="D469" i="2"/>
  <c r="E469" i="2" s="1"/>
  <c r="D470" i="2"/>
  <c r="E470" i="2" s="1"/>
  <c r="D471" i="2"/>
  <c r="E471" i="2" s="1"/>
  <c r="D472" i="2"/>
  <c r="E472" i="2" s="1"/>
  <c r="D473" i="2"/>
  <c r="E473" i="2" s="1"/>
  <c r="D474" i="2"/>
  <c r="E474" i="2" s="1"/>
  <c r="D475" i="2"/>
  <c r="E475" i="2" s="1"/>
  <c r="D476" i="2"/>
  <c r="E476" i="2" s="1"/>
  <c r="D477" i="2"/>
  <c r="E477" i="2" s="1"/>
  <c r="D478" i="2"/>
  <c r="D479" i="2"/>
  <c r="D480" i="2"/>
  <c r="D481" i="2"/>
  <c r="E481" i="2" s="1"/>
  <c r="D482" i="2"/>
  <c r="D483" i="2"/>
  <c r="E483" i="2" s="1"/>
  <c r="D484" i="2"/>
  <c r="D485" i="2"/>
  <c r="D486" i="2"/>
  <c r="E486" i="2" s="1"/>
  <c r="D487" i="2"/>
  <c r="E487" i="2" s="1"/>
  <c r="D488" i="2"/>
  <c r="E488" i="2" s="1"/>
  <c r="D489" i="2"/>
  <c r="E489" i="2" s="1"/>
  <c r="D490" i="2"/>
  <c r="E490" i="2" s="1"/>
  <c r="D491" i="2"/>
  <c r="E491" i="2" s="1"/>
  <c r="D492" i="2"/>
  <c r="E492" i="2" s="1"/>
  <c r="D493" i="2"/>
  <c r="E493" i="2" s="1"/>
  <c r="D494" i="2"/>
  <c r="E494" i="2" s="1"/>
  <c r="D495" i="2"/>
  <c r="E495" i="2" s="1"/>
  <c r="D496" i="2"/>
  <c r="E496" i="2" s="1"/>
  <c r="D497" i="2"/>
  <c r="E497" i="2" s="1"/>
  <c r="D498" i="2"/>
  <c r="E498" i="2" s="1"/>
  <c r="D499" i="2"/>
  <c r="E499" i="2" s="1"/>
  <c r="D500" i="2"/>
  <c r="D501" i="2"/>
  <c r="D502" i="2"/>
  <c r="D503" i="2"/>
  <c r="E503" i="2" s="1"/>
  <c r="D504" i="2"/>
  <c r="E504" i="2" s="1"/>
  <c r="D505" i="2"/>
  <c r="E505" i="2" s="1"/>
  <c r="D506" i="2"/>
  <c r="E506" i="2" s="1"/>
  <c r="D507" i="2"/>
  <c r="D508" i="2"/>
  <c r="D509" i="2"/>
  <c r="E509" i="2" s="1"/>
  <c r="D510" i="2"/>
  <c r="E510" i="2" s="1"/>
  <c r="D511" i="2"/>
  <c r="E511" i="2" s="1"/>
  <c r="D512" i="2"/>
  <c r="E512" i="2" s="1"/>
  <c r="D513" i="2"/>
  <c r="E513" i="2" s="1"/>
  <c r="D514" i="2"/>
  <c r="E514" i="2" s="1"/>
  <c r="D515" i="2"/>
  <c r="E515" i="2" s="1"/>
  <c r="D516" i="2"/>
  <c r="E516" i="2" s="1"/>
  <c r="D517" i="2"/>
  <c r="E517" i="2" s="1"/>
  <c r="D518" i="2"/>
  <c r="E518" i="2" s="1"/>
  <c r="D519" i="2"/>
  <c r="E519" i="2" s="1"/>
  <c r="D520" i="2"/>
  <c r="E520" i="2" s="1"/>
  <c r="D521" i="2"/>
  <c r="E521" i="2" s="1"/>
  <c r="D522" i="2"/>
  <c r="D523" i="2"/>
  <c r="E523" i="2" s="1"/>
  <c r="D524" i="2"/>
  <c r="D525" i="2"/>
  <c r="D526" i="2"/>
  <c r="D527" i="2"/>
  <c r="E527" i="2" s="1"/>
  <c r="D528" i="2"/>
  <c r="E528" i="2" s="1"/>
  <c r="D529" i="2"/>
  <c r="E529" i="2" s="1"/>
  <c r="D530" i="2"/>
  <c r="E530" i="2" s="1"/>
  <c r="D531" i="2"/>
  <c r="E531" i="2" s="1"/>
  <c r="D532" i="2"/>
  <c r="E532" i="2" s="1"/>
  <c r="D533" i="2"/>
  <c r="E533" i="2" s="1"/>
  <c r="D534" i="2"/>
  <c r="E534" i="2" s="1"/>
  <c r="D535" i="2"/>
  <c r="E535" i="2" s="1"/>
  <c r="D536" i="2"/>
  <c r="E536" i="2" s="1"/>
  <c r="D537" i="2"/>
  <c r="E537" i="2" s="1"/>
  <c r="D538" i="2"/>
  <c r="E538" i="2" s="1"/>
  <c r="D539" i="2"/>
  <c r="E539" i="2" s="1"/>
  <c r="D540" i="2"/>
  <c r="E540" i="2" s="1"/>
  <c r="D541" i="2"/>
  <c r="E541" i="2" s="1"/>
  <c r="D542" i="2"/>
  <c r="E542" i="2" s="1"/>
  <c r="D543" i="2"/>
  <c r="E543" i="2" s="1"/>
  <c r="D544" i="2"/>
  <c r="D545" i="2"/>
  <c r="E545" i="2" s="1"/>
  <c r="D546" i="2"/>
  <c r="D547" i="2"/>
  <c r="E547" i="2" s="1"/>
  <c r="D548" i="2"/>
  <c r="D549" i="2"/>
  <c r="E549" i="2" s="1"/>
  <c r="D550" i="2"/>
  <c r="E550" i="2" s="1"/>
  <c r="D551" i="2"/>
  <c r="E551" i="2" s="1"/>
  <c r="D552" i="2"/>
  <c r="E552" i="2" s="1"/>
  <c r="D553" i="2"/>
  <c r="E553" i="2" s="1"/>
  <c r="D554" i="2"/>
  <c r="E554" i="2" s="1"/>
  <c r="D555" i="2"/>
  <c r="E555" i="2" s="1"/>
  <c r="D556" i="2"/>
  <c r="E556" i="2" s="1"/>
  <c r="D557" i="2"/>
  <c r="E557" i="2" s="1"/>
  <c r="D558" i="2"/>
  <c r="E558" i="2" s="1"/>
  <c r="D559" i="2"/>
  <c r="E559" i="2" s="1"/>
  <c r="D560" i="2"/>
  <c r="E560" i="2" s="1"/>
  <c r="D561" i="2"/>
  <c r="E561" i="2" s="1"/>
  <c r="D562" i="2"/>
  <c r="E562" i="2" s="1"/>
  <c r="D563" i="2"/>
  <c r="E563" i="2" s="1"/>
  <c r="D564" i="2"/>
  <c r="E564" i="2" s="1"/>
  <c r="D565" i="2"/>
  <c r="E565" i="2" s="1"/>
  <c r="D566" i="2"/>
  <c r="E566" i="2" s="1"/>
  <c r="D567" i="2"/>
  <c r="E567" i="2" s="1"/>
  <c r="D568" i="2"/>
  <c r="D569" i="2"/>
  <c r="E569" i="2" s="1"/>
  <c r="D570" i="2"/>
  <c r="D571" i="2"/>
  <c r="E571" i="2" s="1"/>
  <c r="D572" i="2"/>
  <c r="D573" i="2"/>
  <c r="D574" i="2"/>
  <c r="D575" i="2"/>
  <c r="E575" i="2" s="1"/>
  <c r="D576" i="2"/>
  <c r="E576" i="2" s="1"/>
  <c r="D577" i="2"/>
  <c r="E577" i="2" s="1"/>
  <c r="D578" i="2"/>
  <c r="E578" i="2" s="1"/>
  <c r="D579" i="2"/>
  <c r="E579" i="2" s="1"/>
  <c r="D580" i="2"/>
  <c r="E580" i="2" s="1"/>
  <c r="D581" i="2"/>
  <c r="E581" i="2" s="1"/>
  <c r="D582" i="2"/>
  <c r="E582" i="2" s="1"/>
  <c r="D583" i="2"/>
  <c r="E583" i="2" s="1"/>
  <c r="D584" i="2"/>
  <c r="E584" i="2" s="1"/>
  <c r="D585" i="2"/>
  <c r="E585" i="2" s="1"/>
  <c r="D586" i="2"/>
  <c r="E586" i="2" s="1"/>
  <c r="D587" i="2"/>
  <c r="E587" i="2" s="1"/>
  <c r="D588" i="2"/>
  <c r="D589" i="2"/>
  <c r="D590" i="2"/>
  <c r="D591" i="2"/>
  <c r="D592" i="2"/>
  <c r="D593" i="2"/>
  <c r="E593" i="2" s="1"/>
  <c r="D594" i="2"/>
  <c r="E594" i="2" s="1"/>
  <c r="D595" i="2"/>
  <c r="E595" i="2" s="1"/>
  <c r="D596" i="2"/>
  <c r="E596" i="2" s="1"/>
  <c r="D597" i="2"/>
  <c r="E597" i="2" s="1"/>
  <c r="D598" i="2"/>
  <c r="E598" i="2" s="1"/>
  <c r="D599" i="2"/>
  <c r="E599" i="2" s="1"/>
  <c r="D600" i="2"/>
  <c r="E600" i="2" s="1"/>
  <c r="D601" i="2"/>
  <c r="E601" i="2" s="1"/>
  <c r="D602" i="2"/>
  <c r="E602" i="2" s="1"/>
  <c r="D603" i="2"/>
  <c r="E603" i="2" s="1"/>
  <c r="D604" i="2"/>
  <c r="E604" i="2" s="1"/>
  <c r="D605" i="2"/>
  <c r="E605" i="2" s="1"/>
  <c r="D606" i="2"/>
  <c r="E606" i="2" s="1"/>
  <c r="D607" i="2"/>
  <c r="E607" i="2" s="1"/>
  <c r="D608" i="2"/>
  <c r="E608" i="2" s="1"/>
  <c r="D609" i="2"/>
  <c r="E609" i="2" s="1"/>
  <c r="D610" i="2"/>
  <c r="E610" i="2" s="1"/>
  <c r="D611" i="2"/>
  <c r="E611" i="2" s="1"/>
  <c r="D612" i="2"/>
  <c r="E612" i="2" s="1"/>
  <c r="D613" i="2"/>
  <c r="E613" i="2" s="1"/>
  <c r="D614" i="2"/>
  <c r="E614" i="2" s="1"/>
  <c r="D615" i="2"/>
  <c r="E615" i="2" s="1"/>
  <c r="D616" i="2"/>
  <c r="E616" i="2" s="1"/>
  <c r="D617" i="2"/>
  <c r="E617" i="2" s="1"/>
  <c r="D618" i="2"/>
  <c r="E618" i="2" s="1"/>
  <c r="D619" i="2"/>
  <c r="E619" i="2" s="1"/>
  <c r="D620" i="2"/>
  <c r="E620" i="2" s="1"/>
  <c r="D621" i="2"/>
  <c r="E621" i="2" s="1"/>
  <c r="D622" i="2"/>
  <c r="E622" i="2" s="1"/>
  <c r="D623" i="2"/>
  <c r="E623" i="2" s="1"/>
  <c r="D624" i="2"/>
  <c r="E624" i="2" s="1"/>
  <c r="D625" i="2"/>
  <c r="E625" i="2" s="1"/>
  <c r="D626" i="2"/>
  <c r="E626" i="2" s="1"/>
  <c r="D627" i="2"/>
  <c r="E627" i="2" s="1"/>
  <c r="D628" i="2"/>
  <c r="E628" i="2" s="1"/>
  <c r="D629" i="2"/>
  <c r="E629" i="2" s="1"/>
  <c r="D630" i="2"/>
  <c r="E630" i="2" s="1"/>
  <c r="D631" i="2"/>
  <c r="E631" i="2" s="1"/>
  <c r="D632" i="2"/>
  <c r="E632" i="2" s="1"/>
  <c r="D633" i="2"/>
  <c r="D634" i="2"/>
  <c r="E634" i="2" s="1"/>
  <c r="D635" i="2"/>
  <c r="E635" i="2" s="1"/>
  <c r="D636" i="2"/>
  <c r="D637" i="2"/>
  <c r="D638" i="2"/>
  <c r="E638" i="2" s="1"/>
  <c r="D639" i="2"/>
  <c r="D640" i="2"/>
  <c r="D641" i="2"/>
  <c r="E641" i="2" s="1"/>
  <c r="D642" i="2"/>
  <c r="E642" i="2" s="1"/>
  <c r="D643" i="2"/>
  <c r="E643" i="2" s="1"/>
  <c r="D644" i="2"/>
  <c r="E644" i="2" s="1"/>
  <c r="D645" i="2"/>
  <c r="E645" i="2" s="1"/>
  <c r="D646" i="2"/>
  <c r="E646" i="2" s="1"/>
  <c r="D647" i="2"/>
  <c r="E647" i="2" s="1"/>
  <c r="D648" i="2"/>
  <c r="E648" i="2" s="1"/>
  <c r="D649" i="2"/>
  <c r="E649" i="2" s="1"/>
  <c r="D650" i="2"/>
  <c r="E650" i="2" s="1"/>
  <c r="D651" i="2"/>
  <c r="E651" i="2" s="1"/>
  <c r="D652" i="2"/>
  <c r="E652" i="2" s="1"/>
  <c r="D653" i="2"/>
  <c r="E653" i="2" s="1"/>
  <c r="D654" i="2"/>
  <c r="E654" i="2" s="1"/>
  <c r="D655" i="2"/>
  <c r="D656" i="2"/>
  <c r="D657" i="2"/>
  <c r="D658" i="2"/>
  <c r="D659" i="2"/>
  <c r="D660" i="2"/>
  <c r="D661" i="2"/>
  <c r="D662" i="2"/>
  <c r="E662" i="2" s="1"/>
  <c r="D663" i="2"/>
  <c r="E663" i="2" s="1"/>
  <c r="D664" i="2"/>
  <c r="E664" i="2" s="1"/>
  <c r="D665" i="2"/>
  <c r="E665" i="2" s="1"/>
  <c r="D666" i="2"/>
  <c r="E666" i="2" s="1"/>
  <c r="D667" i="2"/>
  <c r="E667" i="2" s="1"/>
  <c r="D668" i="2"/>
  <c r="E668" i="2" s="1"/>
  <c r="D669" i="2"/>
  <c r="E669" i="2" s="1"/>
  <c r="D670" i="2"/>
  <c r="E670" i="2" s="1"/>
  <c r="D671" i="2"/>
  <c r="E671" i="2" s="1"/>
  <c r="D672" i="2"/>
  <c r="E672" i="2" s="1"/>
  <c r="D673" i="2"/>
  <c r="E673" i="2" s="1"/>
  <c r="D674" i="2"/>
  <c r="E674" i="2" s="1"/>
  <c r="D675" i="2"/>
  <c r="E675" i="2" s="1"/>
  <c r="D676" i="2"/>
  <c r="E676" i="2" s="1"/>
  <c r="D677" i="2"/>
  <c r="E677" i="2" s="1"/>
  <c r="D678" i="2"/>
  <c r="E678" i="2" s="1"/>
  <c r="D679" i="2"/>
  <c r="E679" i="2" s="1"/>
  <c r="D680" i="2"/>
  <c r="E680" i="2" s="1"/>
  <c r="D681" i="2"/>
  <c r="E681" i="2" s="1"/>
  <c r="D682" i="2"/>
  <c r="E682" i="2" s="1"/>
  <c r="D683" i="2"/>
  <c r="E683" i="2" s="1"/>
  <c r="D684" i="2"/>
  <c r="E684" i="2" s="1"/>
  <c r="D685" i="2"/>
  <c r="E685" i="2" s="1"/>
  <c r="D686" i="2"/>
  <c r="E686" i="2" s="1"/>
  <c r="D687" i="2"/>
  <c r="E687" i="2" s="1"/>
  <c r="D688" i="2"/>
  <c r="E688" i="2" s="1"/>
  <c r="D689" i="2"/>
  <c r="E689" i="2" s="1"/>
  <c r="D690" i="2"/>
  <c r="E690" i="2" s="1"/>
  <c r="D691" i="2"/>
  <c r="E691" i="2" s="1"/>
  <c r="D692" i="2"/>
  <c r="E692" i="2" s="1"/>
  <c r="D693" i="2"/>
  <c r="E693" i="2" s="1"/>
  <c r="D694" i="2"/>
  <c r="E694" i="2" s="1"/>
  <c r="D695" i="2"/>
  <c r="E695" i="2" s="1"/>
  <c r="D696" i="2"/>
  <c r="E696" i="2" s="1"/>
  <c r="D697" i="2"/>
  <c r="E697" i="2" s="1"/>
  <c r="D698" i="2"/>
  <c r="E698" i="2" s="1"/>
  <c r="D699" i="2"/>
  <c r="E699" i="2" s="1"/>
  <c r="D700" i="2"/>
  <c r="E700" i="2" s="1"/>
  <c r="D701" i="2"/>
  <c r="E701" i="2" s="1"/>
  <c r="D702" i="2"/>
  <c r="E702" i="2" s="1"/>
  <c r="D703" i="2"/>
  <c r="E703" i="2" s="1"/>
  <c r="D704" i="2"/>
  <c r="E704" i="2" s="1"/>
  <c r="D705" i="2"/>
  <c r="E705" i="2" s="1"/>
  <c r="D706" i="2"/>
  <c r="E706" i="2" s="1"/>
  <c r="D707" i="2"/>
  <c r="E707" i="2" s="1"/>
  <c r="D708" i="2"/>
  <c r="E708" i="2" s="1"/>
  <c r="D709" i="2"/>
  <c r="E709" i="2" s="1"/>
  <c r="D710" i="2"/>
  <c r="E710" i="2" s="1"/>
  <c r="D711" i="2"/>
  <c r="E711" i="2" s="1"/>
  <c r="D712" i="2"/>
  <c r="E712" i="2" s="1"/>
  <c r="D713" i="2"/>
  <c r="E713" i="2" s="1"/>
  <c r="D714" i="2"/>
  <c r="E714" i="2" s="1"/>
  <c r="D715" i="2"/>
  <c r="E715" i="2" s="1"/>
  <c r="D2" i="2"/>
  <c r="E2" i="2" s="1"/>
  <c r="G4" i="1"/>
  <c r="G5" i="1"/>
  <c r="H5" i="1" s="1"/>
  <c r="G6" i="1"/>
  <c r="H6" i="1" s="1"/>
  <c r="G7" i="1"/>
  <c r="G8" i="1"/>
  <c r="G9" i="1"/>
  <c r="H9" i="1" s="1"/>
  <c r="G10" i="1"/>
  <c r="G11" i="1"/>
  <c r="G12" i="1"/>
  <c r="G13" i="1"/>
  <c r="H13" i="1" s="1"/>
  <c r="G14" i="1"/>
  <c r="H14" i="1" s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G25" i="1"/>
  <c r="H25" i="1" s="1"/>
  <c r="G26" i="1"/>
  <c r="H26" i="1" s="1"/>
  <c r="G27" i="1"/>
  <c r="H27" i="1" s="1"/>
  <c r="G28" i="1"/>
  <c r="H28" i="1" s="1"/>
  <c r="G29" i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G38" i="1"/>
  <c r="G39" i="1"/>
  <c r="G40" i="1"/>
  <c r="G41" i="1"/>
  <c r="H41" i="1" s="1"/>
  <c r="G42" i="1"/>
  <c r="G43" i="1"/>
  <c r="G44" i="1"/>
  <c r="H44" i="1" s="1"/>
  <c r="G45" i="1"/>
  <c r="H45" i="1" s="1"/>
  <c r="G46" i="1"/>
  <c r="H46" i="1" s="1"/>
  <c r="G47" i="1"/>
  <c r="H47" i="1" s="1"/>
  <c r="G48" i="1"/>
  <c r="G49" i="1"/>
  <c r="H49" i="1" s="1"/>
  <c r="G50" i="1"/>
  <c r="H50" i="1" s="1"/>
  <c r="G51" i="1"/>
  <c r="G52" i="1"/>
  <c r="G53" i="1"/>
  <c r="G54" i="1"/>
  <c r="G55" i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G75" i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G93" i="1"/>
  <c r="H93" i="1" s="1"/>
  <c r="G94" i="1"/>
  <c r="H94" i="1" s="1"/>
  <c r="G95" i="1"/>
  <c r="G96" i="1"/>
  <c r="G97" i="1"/>
  <c r="H97" i="1" s="1"/>
  <c r="G98" i="1"/>
  <c r="G99" i="1"/>
  <c r="G100" i="1"/>
  <c r="H100" i="1" s="1"/>
  <c r="G101" i="1"/>
  <c r="H101" i="1" s="1"/>
  <c r="G102" i="1"/>
  <c r="G103" i="1"/>
  <c r="G104" i="1"/>
  <c r="G105" i="1"/>
  <c r="H105" i="1" s="1"/>
  <c r="G106" i="1"/>
  <c r="H106" i="1" s="1"/>
  <c r="G107" i="1"/>
  <c r="H107" i="1" s="1"/>
  <c r="G108" i="1"/>
  <c r="H108" i="1" s="1"/>
  <c r="G109" i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G121" i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G137" i="1"/>
  <c r="H137" i="1" s="1"/>
  <c r="G138" i="1"/>
  <c r="H138" i="1" s="1"/>
  <c r="G139" i="1"/>
  <c r="H139" i="1" s="1"/>
  <c r="G140" i="1"/>
  <c r="G141" i="1"/>
  <c r="G142" i="1"/>
  <c r="G143" i="1"/>
  <c r="G144" i="1"/>
  <c r="H144" i="1" s="1"/>
  <c r="G145" i="1"/>
  <c r="H145" i="1" s="1"/>
  <c r="G146" i="1"/>
  <c r="G147" i="1"/>
  <c r="G148" i="1"/>
  <c r="G149" i="1"/>
  <c r="G150" i="1"/>
  <c r="H150" i="1" s="1"/>
  <c r="G151" i="1"/>
  <c r="H151" i="1" s="1"/>
  <c r="G152" i="1"/>
  <c r="H152" i="1" s="1"/>
  <c r="G153" i="1"/>
  <c r="G154" i="1"/>
  <c r="H154" i="1" s="1"/>
  <c r="G155" i="1"/>
  <c r="H155" i="1" s="1"/>
  <c r="G156" i="1"/>
  <c r="H156" i="1" s="1"/>
  <c r="G157" i="1"/>
  <c r="H157" i="1" s="1"/>
  <c r="G158" i="1"/>
  <c r="G159" i="1"/>
  <c r="H159" i="1" s="1"/>
  <c r="G160" i="1"/>
  <c r="H160" i="1" s="1"/>
  <c r="G161" i="1"/>
  <c r="G162" i="1"/>
  <c r="G163" i="1"/>
  <c r="G164" i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G181" i="1"/>
  <c r="H181" i="1" s="1"/>
  <c r="G182" i="1"/>
  <c r="H182" i="1" s="1"/>
  <c r="G183" i="1"/>
  <c r="H183" i="1" s="1"/>
  <c r="G184" i="1"/>
  <c r="G185" i="1"/>
  <c r="G186" i="1"/>
  <c r="G187" i="1"/>
  <c r="G188" i="1"/>
  <c r="H188" i="1" s="1"/>
  <c r="G189" i="1"/>
  <c r="H189" i="1" s="1"/>
  <c r="G190" i="1"/>
  <c r="G191" i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G203" i="1"/>
  <c r="H203" i="1" s="1"/>
  <c r="G204" i="1"/>
  <c r="H204" i="1" s="1"/>
  <c r="G205" i="1"/>
  <c r="H205" i="1" s="1"/>
  <c r="G206" i="1"/>
  <c r="G207" i="1"/>
  <c r="G208" i="1"/>
  <c r="G209" i="1"/>
  <c r="G210" i="1"/>
  <c r="H210" i="1" s="1"/>
  <c r="G211" i="1"/>
  <c r="H211" i="1" s="1"/>
  <c r="G212" i="1"/>
  <c r="H212" i="1" s="1"/>
  <c r="G213" i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G235" i="1"/>
  <c r="G236" i="1"/>
  <c r="G237" i="1"/>
  <c r="H237" i="1" s="1"/>
  <c r="G238" i="1"/>
  <c r="H238" i="1" s="1"/>
  <c r="G239" i="1"/>
  <c r="H239" i="1" s="1"/>
  <c r="G240" i="1"/>
  <c r="G241" i="1"/>
  <c r="H241" i="1" s="1"/>
  <c r="G242" i="1"/>
  <c r="H242" i="1" s="1"/>
  <c r="G243" i="1"/>
  <c r="H243" i="1" s="1"/>
  <c r="G244" i="1"/>
  <c r="H244" i="1" s="1"/>
  <c r="G245" i="1"/>
  <c r="G246" i="1"/>
  <c r="G247" i="1"/>
  <c r="H247" i="1" s="1"/>
  <c r="G248" i="1"/>
  <c r="H248" i="1" s="1"/>
  <c r="G249" i="1"/>
  <c r="G250" i="1"/>
  <c r="G251" i="1"/>
  <c r="H251" i="1" s="1"/>
  <c r="G252" i="1"/>
  <c r="G253" i="1"/>
  <c r="G254" i="1"/>
  <c r="H254" i="1" s="1"/>
  <c r="G255" i="1"/>
  <c r="H255" i="1" s="1"/>
  <c r="G256" i="1"/>
  <c r="G257" i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G264" i="1"/>
  <c r="H264" i="1" s="1"/>
  <c r="G265" i="1"/>
  <c r="H265" i="1" s="1"/>
  <c r="G266" i="1"/>
  <c r="H266" i="1" s="1"/>
  <c r="G267" i="1"/>
  <c r="H267" i="1" s="1"/>
  <c r="G268" i="1"/>
  <c r="G269" i="1"/>
  <c r="H269" i="1" s="1"/>
  <c r="G270" i="1"/>
  <c r="H270" i="1" s="1"/>
  <c r="G271" i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G291" i="1"/>
  <c r="H291" i="1" s="1"/>
  <c r="G292" i="1"/>
  <c r="H292" i="1" s="1"/>
  <c r="G293" i="1"/>
  <c r="G294" i="1"/>
  <c r="G295" i="1"/>
  <c r="G296" i="1"/>
  <c r="G297" i="1"/>
  <c r="G298" i="1"/>
  <c r="H298" i="1" s="1"/>
  <c r="G299" i="1"/>
  <c r="H299" i="1" s="1"/>
  <c r="G300" i="1"/>
  <c r="G301" i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G308" i="1"/>
  <c r="H308" i="1" s="1"/>
  <c r="G309" i="1"/>
  <c r="H309" i="1" s="1"/>
  <c r="G310" i="1"/>
  <c r="H310" i="1" s="1"/>
  <c r="G311" i="1"/>
  <c r="H311" i="1" s="1"/>
  <c r="G312" i="1"/>
  <c r="G313" i="1"/>
  <c r="H313" i="1" s="1"/>
  <c r="G314" i="1"/>
  <c r="H314" i="1" s="1"/>
  <c r="G315" i="1"/>
  <c r="G316" i="1"/>
  <c r="G317" i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G335" i="1"/>
  <c r="H335" i="1" s="1"/>
  <c r="G336" i="1"/>
  <c r="H336" i="1" s="1"/>
  <c r="G337" i="1"/>
  <c r="H337" i="1" s="1"/>
  <c r="G338" i="1"/>
  <c r="G339" i="1"/>
  <c r="H339" i="1" s="1"/>
  <c r="G340" i="1"/>
  <c r="G341" i="1"/>
  <c r="G342" i="1"/>
  <c r="G343" i="1"/>
  <c r="H343" i="1" s="1"/>
  <c r="G344" i="1"/>
  <c r="G345" i="1"/>
  <c r="G346" i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G357" i="1"/>
  <c r="H357" i="1" s="1"/>
  <c r="G358" i="1"/>
  <c r="H358" i="1" s="1"/>
  <c r="G359" i="1"/>
  <c r="H359" i="1" s="1"/>
  <c r="G360" i="1"/>
  <c r="G361" i="1"/>
  <c r="H361" i="1" s="1"/>
  <c r="G362" i="1"/>
  <c r="G363" i="1"/>
  <c r="G364" i="1"/>
  <c r="H364" i="1" s="1"/>
  <c r="G365" i="1"/>
  <c r="H365" i="1" s="1"/>
  <c r="G366" i="1"/>
  <c r="H366" i="1" s="1"/>
  <c r="G367" i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G390" i="1"/>
  <c r="G391" i="1"/>
  <c r="H391" i="1" s="1"/>
  <c r="G392" i="1"/>
  <c r="H392" i="1" s="1"/>
  <c r="G393" i="1"/>
  <c r="H393" i="1" s="1"/>
  <c r="G394" i="1"/>
  <c r="H394" i="1" s="1"/>
  <c r="G395" i="1"/>
  <c r="G396" i="1"/>
  <c r="H396" i="1" s="1"/>
  <c r="G397" i="1"/>
  <c r="H397" i="1" s="1"/>
  <c r="G398" i="1"/>
  <c r="H398" i="1" s="1"/>
  <c r="G399" i="1"/>
  <c r="H399" i="1" s="1"/>
  <c r="G400" i="1"/>
  <c r="G401" i="1"/>
  <c r="H401" i="1" s="1"/>
  <c r="G402" i="1"/>
  <c r="H402" i="1" s="1"/>
  <c r="G403" i="1"/>
  <c r="H403" i="1" s="1"/>
  <c r="G404" i="1"/>
  <c r="G405" i="1"/>
  <c r="G406" i="1"/>
  <c r="G407" i="1"/>
  <c r="G408" i="1"/>
  <c r="H408" i="1" s="1"/>
  <c r="G409" i="1"/>
  <c r="H409" i="1" s="1"/>
  <c r="G410" i="1"/>
  <c r="G411" i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G421" i="1"/>
  <c r="G422" i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G452" i="1"/>
  <c r="H452" i="1" s="1"/>
  <c r="G453" i="1"/>
  <c r="G454" i="1"/>
  <c r="G455" i="1"/>
  <c r="G456" i="1"/>
  <c r="G457" i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G467" i="1"/>
  <c r="H467" i="1" s="1"/>
  <c r="G468" i="1"/>
  <c r="H468" i="1" s="1"/>
  <c r="G469" i="1"/>
  <c r="H469" i="1" s="1"/>
  <c r="G470" i="1"/>
  <c r="G471" i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G484" i="1"/>
  <c r="H484" i="1" s="1"/>
  <c r="G485" i="1"/>
  <c r="H485" i="1" s="1"/>
  <c r="G486" i="1"/>
  <c r="H486" i="1" s="1"/>
  <c r="G487" i="1"/>
  <c r="H487" i="1" s="1"/>
  <c r="G488" i="1"/>
  <c r="G489" i="1"/>
  <c r="H489" i="1" s="1"/>
  <c r="G490" i="1"/>
  <c r="H490" i="1" s="1"/>
  <c r="G491" i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G501" i="1"/>
  <c r="G502" i="1"/>
  <c r="H502" i="1" s="1"/>
  <c r="G503" i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G511" i="1"/>
  <c r="H511" i="1" s="1"/>
  <c r="G512" i="1"/>
  <c r="H512" i="1" s="1"/>
  <c r="G513" i="1"/>
  <c r="G514" i="1"/>
  <c r="G515" i="1"/>
  <c r="G516" i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G523" i="1"/>
  <c r="H523" i="1" s="1"/>
  <c r="G524" i="1"/>
  <c r="H524" i="1" s="1"/>
  <c r="G525" i="1"/>
  <c r="H525" i="1" s="1"/>
  <c r="G526" i="1"/>
  <c r="H526" i="1" s="1"/>
  <c r="G527" i="1"/>
  <c r="G528" i="1"/>
  <c r="H528" i="1" s="1"/>
  <c r="G529" i="1"/>
  <c r="H529" i="1" s="1"/>
  <c r="G530" i="1"/>
  <c r="H530" i="1" s="1"/>
  <c r="G531" i="1"/>
  <c r="H531" i="1" s="1"/>
  <c r="G532" i="1"/>
  <c r="G533" i="1"/>
  <c r="H533" i="1" s="1"/>
  <c r="G534" i="1"/>
  <c r="H534" i="1" s="1"/>
  <c r="G535" i="1"/>
  <c r="G536" i="1"/>
  <c r="G537" i="1"/>
  <c r="G538" i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G555" i="1"/>
  <c r="H555" i="1" s="1"/>
  <c r="G556" i="1"/>
  <c r="H556" i="1" s="1"/>
  <c r="G557" i="1"/>
  <c r="H557" i="1" s="1"/>
  <c r="G558" i="1"/>
  <c r="G559" i="1"/>
  <c r="H559" i="1" s="1"/>
  <c r="G560" i="1"/>
  <c r="G561" i="1"/>
  <c r="G562" i="1"/>
  <c r="H562" i="1" s="1"/>
  <c r="G563" i="1"/>
  <c r="H563" i="1" s="1"/>
  <c r="G564" i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G581" i="1"/>
  <c r="H581" i="1" s="1"/>
  <c r="G582" i="1"/>
  <c r="G583" i="1"/>
  <c r="G584" i="1"/>
  <c r="H584" i="1" s="1"/>
  <c r="G585" i="1"/>
  <c r="H585" i="1" s="1"/>
  <c r="G586" i="1"/>
  <c r="G587" i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G594" i="1"/>
  <c r="H594" i="1" s="1"/>
  <c r="G595" i="1"/>
  <c r="H595" i="1" s="1"/>
  <c r="G596" i="1"/>
  <c r="H596" i="1" s="1"/>
  <c r="G597" i="1"/>
  <c r="H597" i="1" s="1"/>
  <c r="G598" i="1"/>
  <c r="G599" i="1"/>
  <c r="H599" i="1" s="1"/>
  <c r="G600" i="1"/>
  <c r="H600" i="1" s="1"/>
  <c r="G601" i="1"/>
  <c r="H601" i="1" s="1"/>
  <c r="G602" i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G626" i="1"/>
  <c r="G627" i="1"/>
  <c r="G628" i="1"/>
  <c r="H628" i="1" s="1"/>
  <c r="G629" i="1"/>
  <c r="H629" i="1" s="1"/>
  <c r="G630" i="1"/>
  <c r="G631" i="1"/>
  <c r="G632" i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G642" i="1"/>
  <c r="G643" i="1"/>
  <c r="H643" i="1" s="1"/>
  <c r="G644" i="1"/>
  <c r="H644" i="1" s="1"/>
  <c r="G645" i="1"/>
  <c r="G646" i="1"/>
  <c r="G647" i="1"/>
  <c r="G648" i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G675" i="1"/>
  <c r="G676" i="1"/>
  <c r="G677" i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G687" i="1"/>
  <c r="H687" i="1" s="1"/>
  <c r="G688" i="1"/>
  <c r="H688" i="1" s="1"/>
  <c r="G689" i="1"/>
  <c r="H689" i="1" s="1"/>
  <c r="G690" i="1"/>
  <c r="G691" i="1"/>
  <c r="G692" i="1"/>
  <c r="G693" i="1"/>
  <c r="G694" i="1"/>
  <c r="H694" i="1" s="1"/>
  <c r="G695" i="1"/>
  <c r="H695" i="1" s="1"/>
  <c r="G696" i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G731" i="1"/>
  <c r="H731" i="1" s="1"/>
  <c r="G732" i="1"/>
  <c r="H732" i="1" s="1"/>
  <c r="G733" i="1"/>
  <c r="H733" i="1" s="1"/>
  <c r="G734" i="1"/>
  <c r="G735" i="1"/>
  <c r="H735" i="1" s="1"/>
  <c r="G736" i="1"/>
  <c r="G737" i="1"/>
  <c r="G738" i="1"/>
  <c r="H738" i="1" s="1"/>
  <c r="G739" i="1"/>
  <c r="H739" i="1" s="1"/>
  <c r="G740" i="1"/>
  <c r="G741" i="1"/>
  <c r="G742" i="1"/>
  <c r="G743" i="1"/>
  <c r="G744" i="1"/>
  <c r="H744" i="1" s="1"/>
  <c r="G745" i="1"/>
  <c r="H745" i="1" s="1"/>
  <c r="G746" i="1"/>
  <c r="H746" i="1" s="1"/>
  <c r="G747" i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G759" i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G775" i="1"/>
  <c r="H775" i="1" s="1"/>
  <c r="G776" i="1"/>
  <c r="H776" i="1" s="1"/>
  <c r="G777" i="1"/>
  <c r="H777" i="1" s="1"/>
  <c r="G778" i="1"/>
  <c r="H778" i="1" s="1"/>
  <c r="G779" i="1"/>
  <c r="G780" i="1"/>
  <c r="G781" i="1"/>
  <c r="G782" i="1"/>
  <c r="H782" i="1" s="1"/>
  <c r="G783" i="1"/>
  <c r="H783" i="1" s="1"/>
  <c r="G784" i="1"/>
  <c r="G785" i="1"/>
  <c r="G786" i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G804" i="1"/>
  <c r="H804" i="1" s="1"/>
  <c r="G805" i="1"/>
  <c r="H805" i="1" s="1"/>
  <c r="G806" i="1"/>
  <c r="G807" i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G819" i="1"/>
  <c r="H819" i="1" s="1"/>
  <c r="G820" i="1"/>
  <c r="H820" i="1" s="1"/>
  <c r="G821" i="1"/>
  <c r="G822" i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G833" i="1"/>
  <c r="H833" i="1" s="1"/>
  <c r="G834" i="1"/>
  <c r="H834" i="1" s="1"/>
  <c r="G835" i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G851" i="1"/>
  <c r="G852" i="1"/>
  <c r="G853" i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G862" i="1"/>
  <c r="G863" i="1"/>
  <c r="H863" i="1" s="1"/>
  <c r="G864" i="1"/>
  <c r="H864" i="1" s="1"/>
  <c r="G865" i="1"/>
  <c r="G866" i="1"/>
  <c r="G867" i="1"/>
  <c r="G868" i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G891" i="1"/>
  <c r="G892" i="1"/>
  <c r="G893" i="1"/>
  <c r="H893" i="1" s="1"/>
  <c r="G894" i="1"/>
  <c r="G895" i="1"/>
  <c r="G896" i="1"/>
  <c r="G897" i="1"/>
  <c r="H897" i="1" s="1"/>
  <c r="G898" i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G907" i="1"/>
  <c r="H907" i="1" s="1"/>
  <c r="G908" i="1"/>
  <c r="H908" i="1" s="1"/>
  <c r="G909" i="1"/>
  <c r="G910" i="1"/>
  <c r="G911" i="1"/>
  <c r="G912" i="1"/>
  <c r="G913" i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G927" i="1"/>
  <c r="H927" i="1" s="1"/>
  <c r="G928" i="1"/>
  <c r="H928" i="1" s="1"/>
  <c r="G3" i="1"/>
  <c r="G1" i="1" s="1"/>
  <c r="J6" i="1"/>
  <c r="J28" i="1"/>
  <c r="I4" i="1"/>
  <c r="J4" i="1" s="1"/>
  <c r="I5" i="1"/>
  <c r="J5" i="1" s="1"/>
  <c r="I6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3" i="1"/>
  <c r="J3" i="1" s="1"/>
  <c r="E929" i="1"/>
  <c r="H926" i="1"/>
  <c r="H913" i="1"/>
  <c r="H912" i="1"/>
  <c r="H911" i="1"/>
  <c r="H910" i="1"/>
  <c r="H909" i="1"/>
  <c r="H906" i="1"/>
  <c r="H898" i="1"/>
  <c r="H896" i="1"/>
  <c r="H895" i="1"/>
  <c r="H894" i="1"/>
  <c r="H892" i="1"/>
  <c r="H891" i="1"/>
  <c r="H890" i="1"/>
  <c r="H879" i="1"/>
  <c r="H868" i="1"/>
  <c r="H867" i="1"/>
  <c r="H866" i="1"/>
  <c r="H865" i="1"/>
  <c r="H862" i="1"/>
  <c r="H861" i="1"/>
  <c r="H853" i="1"/>
  <c r="H852" i="1"/>
  <c r="H851" i="1"/>
  <c r="H850" i="1"/>
  <c r="H835" i="1"/>
  <c r="H832" i="1"/>
  <c r="H822" i="1"/>
  <c r="H821" i="1"/>
  <c r="H818" i="1"/>
  <c r="H807" i="1"/>
  <c r="H806" i="1"/>
  <c r="H803" i="1"/>
  <c r="H796" i="1"/>
  <c r="H786" i="1"/>
  <c r="H785" i="1"/>
  <c r="H784" i="1"/>
  <c r="H781" i="1"/>
  <c r="H780" i="1"/>
  <c r="H779" i="1"/>
  <c r="H774" i="1"/>
  <c r="H759" i="1"/>
  <c r="H758" i="1"/>
  <c r="H747" i="1"/>
  <c r="H743" i="1"/>
  <c r="H742" i="1"/>
  <c r="H741" i="1"/>
  <c r="H740" i="1"/>
  <c r="H737" i="1"/>
  <c r="H736" i="1"/>
  <c r="H734" i="1"/>
  <c r="H730" i="1"/>
  <c r="H703" i="1"/>
  <c r="H696" i="1"/>
  <c r="H693" i="1"/>
  <c r="H692" i="1"/>
  <c r="H691" i="1"/>
  <c r="H690" i="1"/>
  <c r="H686" i="1"/>
  <c r="H677" i="1"/>
  <c r="H676" i="1"/>
  <c r="H675" i="1"/>
  <c r="H674" i="1"/>
  <c r="H648" i="1"/>
  <c r="H647" i="1"/>
  <c r="H646" i="1"/>
  <c r="H645" i="1"/>
  <c r="H642" i="1"/>
  <c r="H641" i="1"/>
  <c r="H632" i="1"/>
  <c r="H631" i="1"/>
  <c r="H630" i="1"/>
  <c r="H627" i="1"/>
  <c r="H626" i="1"/>
  <c r="H625" i="1"/>
  <c r="H615" i="1"/>
  <c r="H602" i="1"/>
  <c r="H598" i="1"/>
  <c r="H593" i="1"/>
  <c r="H587" i="1"/>
  <c r="H586" i="1"/>
  <c r="H583" i="1"/>
  <c r="H582" i="1"/>
  <c r="H580" i="1"/>
  <c r="H564" i="1"/>
  <c r="H561" i="1"/>
  <c r="H560" i="1"/>
  <c r="H558" i="1"/>
  <c r="H554" i="1"/>
  <c r="H538" i="1"/>
  <c r="H537" i="1"/>
  <c r="H536" i="1"/>
  <c r="H535" i="1"/>
  <c r="H532" i="1"/>
  <c r="H527" i="1"/>
  <c r="H522" i="1"/>
  <c r="H516" i="1"/>
  <c r="H515" i="1"/>
  <c r="H514" i="1"/>
  <c r="H513" i="1"/>
  <c r="H510" i="1"/>
  <c r="H503" i="1"/>
  <c r="H501" i="1"/>
  <c r="H500" i="1"/>
  <c r="H491" i="1"/>
  <c r="H488" i="1"/>
  <c r="H483" i="1"/>
  <c r="H471" i="1"/>
  <c r="H470" i="1"/>
  <c r="H466" i="1"/>
  <c r="H457" i="1"/>
  <c r="H456" i="1"/>
  <c r="H455" i="1"/>
  <c r="H454" i="1"/>
  <c r="H453" i="1"/>
  <c r="H451" i="1"/>
  <c r="H444" i="1"/>
  <c r="H428" i="1"/>
  <c r="H422" i="1"/>
  <c r="H421" i="1"/>
  <c r="H420" i="1"/>
  <c r="H411" i="1"/>
  <c r="H410" i="1"/>
  <c r="H407" i="1"/>
  <c r="H406" i="1"/>
  <c r="H405" i="1"/>
  <c r="H404" i="1"/>
  <c r="H400" i="1"/>
  <c r="H395" i="1"/>
  <c r="H390" i="1"/>
  <c r="H389" i="1"/>
  <c r="H381" i="1"/>
  <c r="H373" i="1"/>
  <c r="H367" i="1"/>
  <c r="H363" i="1"/>
  <c r="H362" i="1"/>
  <c r="H360" i="1"/>
  <c r="H356" i="1"/>
  <c r="H346" i="1"/>
  <c r="H345" i="1"/>
  <c r="H344" i="1"/>
  <c r="H342" i="1"/>
  <c r="H341" i="1"/>
  <c r="H340" i="1"/>
  <c r="H338" i="1"/>
  <c r="H334" i="1"/>
  <c r="H317" i="1"/>
  <c r="H316" i="1"/>
  <c r="H315" i="1"/>
  <c r="H312" i="1"/>
  <c r="H307" i="1"/>
  <c r="H301" i="1"/>
  <c r="H300" i="1"/>
  <c r="H297" i="1"/>
  <c r="H296" i="1"/>
  <c r="H295" i="1"/>
  <c r="H294" i="1"/>
  <c r="H293" i="1"/>
  <c r="H290" i="1"/>
  <c r="H282" i="1"/>
  <c r="H271" i="1"/>
  <c r="H268" i="1"/>
  <c r="H263" i="1"/>
  <c r="H257" i="1"/>
  <c r="H256" i="1"/>
  <c r="H253" i="1"/>
  <c r="H252" i="1"/>
  <c r="H250" i="1"/>
  <c r="H249" i="1"/>
  <c r="H246" i="1"/>
  <c r="H245" i="1"/>
  <c r="H240" i="1"/>
  <c r="H236" i="1"/>
  <c r="H235" i="1"/>
  <c r="H234" i="1"/>
  <c r="H224" i="1"/>
  <c r="H213" i="1"/>
  <c r="H209" i="1"/>
  <c r="H208" i="1"/>
  <c r="H207" i="1"/>
  <c r="H206" i="1"/>
  <c r="H202" i="1"/>
  <c r="H191" i="1"/>
  <c r="H190" i="1"/>
  <c r="H187" i="1"/>
  <c r="H186" i="1"/>
  <c r="H185" i="1"/>
  <c r="H184" i="1"/>
  <c r="H180" i="1"/>
  <c r="H164" i="1"/>
  <c r="H163" i="1"/>
  <c r="H162" i="1"/>
  <c r="H161" i="1"/>
  <c r="H158" i="1"/>
  <c r="H153" i="1"/>
  <c r="H149" i="1"/>
  <c r="H148" i="1"/>
  <c r="H147" i="1"/>
  <c r="H146" i="1"/>
  <c r="H143" i="1"/>
  <c r="H142" i="1"/>
  <c r="H141" i="1"/>
  <c r="H140" i="1"/>
  <c r="H136" i="1"/>
  <c r="H121" i="1"/>
  <c r="H120" i="1"/>
  <c r="H109" i="1"/>
  <c r="H104" i="1"/>
  <c r="H103" i="1"/>
  <c r="H102" i="1"/>
  <c r="H99" i="1"/>
  <c r="H98" i="1"/>
  <c r="H96" i="1"/>
  <c r="H95" i="1"/>
  <c r="H92" i="1"/>
  <c r="H75" i="1"/>
  <c r="H74" i="1"/>
  <c r="H55" i="1"/>
  <c r="H54" i="1"/>
  <c r="H53" i="1"/>
  <c r="H52" i="1"/>
  <c r="H51" i="1"/>
  <c r="H48" i="1"/>
  <c r="H43" i="1"/>
  <c r="H42" i="1"/>
  <c r="H40" i="1"/>
  <c r="H39" i="1"/>
  <c r="H38" i="1"/>
  <c r="H37" i="1"/>
  <c r="H29" i="1"/>
  <c r="H24" i="1"/>
  <c r="H15" i="1"/>
  <c r="H12" i="1"/>
  <c r="H11" i="1"/>
  <c r="H10" i="1"/>
  <c r="H8" i="1"/>
  <c r="H7" i="1"/>
  <c r="H4" i="1"/>
  <c r="H3" i="1"/>
  <c r="H929" i="1" l="1"/>
  <c r="G929" i="1"/>
  <c r="K3" i="1"/>
</calcChain>
</file>

<file path=xl/sharedStrings.xml><?xml version="1.0" encoding="utf-8"?>
<sst xmlns="http://schemas.openxmlformats.org/spreadsheetml/2006/main" count="4431" uniqueCount="1992">
  <si>
    <t>SKU</t>
  </si>
  <si>
    <t>Descripcion</t>
  </si>
  <si>
    <t>Marca</t>
  </si>
  <si>
    <t>Categoria</t>
  </si>
  <si>
    <t>Jul_Sistema</t>
  </si>
  <si>
    <t>Precio_Bruto</t>
  </si>
  <si>
    <t>Jul_Excel</t>
  </si>
  <si>
    <t>Diferencia</t>
  </si>
  <si>
    <t>R3015</t>
  </si>
  <si>
    <t>Lámpara Luminoterapia</t>
  </si>
  <si>
    <t>Acqui</t>
  </si>
  <si>
    <t>Salud y Bienestar</t>
  </si>
  <si>
    <t>R3086</t>
  </si>
  <si>
    <t>Calentador de Pies</t>
  </si>
  <si>
    <t>Dormitorio</t>
  </si>
  <si>
    <t>R6359</t>
  </si>
  <si>
    <t>Calientacamas 1 Plaza 100% Polyester Análogo</t>
  </si>
  <si>
    <t>R6360</t>
  </si>
  <si>
    <t>Calientacamas 2 Plazas 100% Polyester Análogo</t>
  </si>
  <si>
    <t>R6361</t>
  </si>
  <si>
    <t>Calientacamas 1 Plaza 100% Polyester Digital</t>
  </si>
  <si>
    <t>R6362</t>
  </si>
  <si>
    <t>Calientacamas 2 Plazas 100% Polyester Digital</t>
  </si>
  <si>
    <t>R6363</t>
  </si>
  <si>
    <t>Manta Térmica Control Digital 180x30 Acqui</t>
  </si>
  <si>
    <t>R6365</t>
  </si>
  <si>
    <t>Almohadilla Eléctrica Térmica Acqui</t>
  </si>
  <si>
    <t>R6790</t>
  </si>
  <si>
    <t>Cojín Ortopédico Asiento Lumbar Antideslizante Color Negro</t>
  </si>
  <si>
    <t>R6792</t>
  </si>
  <si>
    <t>Manta con Peso Single 8kg concilieador de sueño</t>
  </si>
  <si>
    <t>R6793</t>
  </si>
  <si>
    <t>Manta con Peso Queen 12kg concilieador de sueño</t>
  </si>
  <si>
    <t>R6794</t>
  </si>
  <si>
    <t>Manta con Peso Queen 15kg concilieador de sueño</t>
  </si>
  <si>
    <t>R6811</t>
  </si>
  <si>
    <t>Pack 2 Almohada Memory Cervical Ortopédica</t>
  </si>
  <si>
    <t>R1088</t>
  </si>
  <si>
    <t>Máquina Algodón Azúcar Profesional</t>
  </si>
  <si>
    <t>Bfresh</t>
  </si>
  <si>
    <t>Electrodomésticos</t>
  </si>
  <si>
    <t>R1091</t>
  </si>
  <si>
    <t>Máquina de cabritas profesional 72*50*35 [cm]</t>
  </si>
  <si>
    <t>R1101</t>
  </si>
  <si>
    <t>Panel Calefactor 425W</t>
  </si>
  <si>
    <t>Climatización</t>
  </si>
  <si>
    <t>R2745</t>
  </si>
  <si>
    <t>Pack 7 Repuestos Mopa Vapor 5 en 1</t>
  </si>
  <si>
    <t>Hogar</t>
  </si>
  <si>
    <t>R4040</t>
  </si>
  <si>
    <t>Mopa Giratoria 360 + 2 Repuestos</t>
  </si>
  <si>
    <t>R4188</t>
  </si>
  <si>
    <t>Pack de 10 Bolsas b-Fresh talla L</t>
  </si>
  <si>
    <t>R4189</t>
  </si>
  <si>
    <t>Pack de 10 Bolsas b-Fresh talla M</t>
  </si>
  <si>
    <t>R4190</t>
  </si>
  <si>
    <t>Pack de 10 Bolsas b-Fresh talla S</t>
  </si>
  <si>
    <t>R4192</t>
  </si>
  <si>
    <t>Pack de 10 Bolsas b-Fresh talla XS</t>
  </si>
  <si>
    <t>R5290</t>
  </si>
  <si>
    <t>Pack Máquina de Cabritas + Máquina de Algodón</t>
  </si>
  <si>
    <t>R5742</t>
  </si>
  <si>
    <t>Pack 2 Panel Calefactor 425W</t>
  </si>
  <si>
    <t>R6023</t>
  </si>
  <si>
    <t>Panel Calefactor 550W</t>
  </si>
  <si>
    <t>R6391</t>
  </si>
  <si>
    <t>Pack 2 Panel Calefactor 550W</t>
  </si>
  <si>
    <t>R6471</t>
  </si>
  <si>
    <t>Panel Calefactor 425W WIFI</t>
  </si>
  <si>
    <t>R6564</t>
  </si>
  <si>
    <t>Ventilador Portatil Bfresh</t>
  </si>
  <si>
    <t>R6598</t>
  </si>
  <si>
    <t>Termoventilador Bfresh BF-150</t>
  </si>
  <si>
    <t>R6599</t>
  </si>
  <si>
    <t>Termoventilador Cerámico Bfresh BF-500</t>
  </si>
  <si>
    <t>R6601</t>
  </si>
  <si>
    <t>Estufa Infraroja Bfresh BF-IR10</t>
  </si>
  <si>
    <t>R6602</t>
  </si>
  <si>
    <t>Estufa Infraroja Bfresh BF-IR50</t>
  </si>
  <si>
    <t>R6603</t>
  </si>
  <si>
    <t>Estufa de Patio a Gas Baja Bfresh BF-G100</t>
  </si>
  <si>
    <t>R6604</t>
  </si>
  <si>
    <t>Chimenea Eléctrica Bfresh BF-CH75</t>
  </si>
  <si>
    <t>R6679</t>
  </si>
  <si>
    <t>Pack 2 Panel Calefactor 425 WIFI</t>
  </si>
  <si>
    <t>R6728</t>
  </si>
  <si>
    <t>Deshidratador de Frutas Gris</t>
  </si>
  <si>
    <t>R6729</t>
  </si>
  <si>
    <t>Deshidratador de Frutas Negro</t>
  </si>
  <si>
    <t>R6732</t>
  </si>
  <si>
    <t>Pack 2 Termoventilador Bfresh Bf-150 Blanco</t>
  </si>
  <si>
    <t>R6798</t>
  </si>
  <si>
    <t>2 Sartenes Hierro Fundido 26cm + 2 Grip</t>
  </si>
  <si>
    <t>R6813</t>
  </si>
  <si>
    <t>Secador De Loza Platos Extraíble 2 Niveles Color Negro</t>
  </si>
  <si>
    <t>R6979</t>
  </si>
  <si>
    <t>Estufa de Patio a Gas Baja Bfresh BF-G100 ( color 1 )</t>
  </si>
  <si>
    <t>R6980</t>
  </si>
  <si>
    <t>Estufa de Patio a Gas Baja Bfresh BF-G100 ( color 2 )</t>
  </si>
  <si>
    <t>R6981</t>
  </si>
  <si>
    <t>Funda para estufa de Patio</t>
  </si>
  <si>
    <t>R6982</t>
  </si>
  <si>
    <t>Estufa de Patio a Gas Baja Bfresh LY-S01</t>
  </si>
  <si>
    <t>R6983</t>
  </si>
  <si>
    <t>Estufa de Patio a Gas Baja Bfresh LY-S03</t>
  </si>
  <si>
    <t>R6984</t>
  </si>
  <si>
    <t>Estufa de Patio a Gas Baja Bfresh LY-T02</t>
  </si>
  <si>
    <t>R6985</t>
  </si>
  <si>
    <t>Estufa de Patio a Gas Baja Bfresh LY-T06</t>
  </si>
  <si>
    <t>R6986</t>
  </si>
  <si>
    <t>Estufa de Patio a Gas Baja Bfresh LY-Z02</t>
  </si>
  <si>
    <t>R2960</t>
  </si>
  <si>
    <t>Set Basketball para Cama Elástica</t>
  </si>
  <si>
    <t>GlowUp</t>
  </si>
  <si>
    <t>Infantil</t>
  </si>
  <si>
    <t>R2982</t>
  </si>
  <si>
    <t>Waterpark Rociador Cama Elástica 6ft</t>
  </si>
  <si>
    <t>R2997</t>
  </si>
  <si>
    <t>Waterpark Rociador Cama Elástica 8ft</t>
  </si>
  <si>
    <t>R2998</t>
  </si>
  <si>
    <t>Waterpark Rociador Cama Elástica 10 ft</t>
  </si>
  <si>
    <t>R2999</t>
  </si>
  <si>
    <t>Waterpark Rociador Cama Elástica 12ft</t>
  </si>
  <si>
    <t>R3000</t>
  </si>
  <si>
    <t>Waterpark Rociador Cama Elástica 14ft</t>
  </si>
  <si>
    <t>R3025</t>
  </si>
  <si>
    <t>Bicicleta Infantil Madera Celeste</t>
  </si>
  <si>
    <t>R3056</t>
  </si>
  <si>
    <t>Pack de cama elástica Glowup 6 ft + Set de Basketball</t>
  </si>
  <si>
    <t>R3057</t>
  </si>
  <si>
    <t>Pack de cama elástica Glowup 8ft + Set de Basketball</t>
  </si>
  <si>
    <t>R3058</t>
  </si>
  <si>
    <t>Pack de cama elástica Glowup 10ft + Set de Basketball</t>
  </si>
  <si>
    <t>R3059</t>
  </si>
  <si>
    <t>Pack de cama elástica Glowup 12ft + Set de Basketball</t>
  </si>
  <si>
    <t>R3060</t>
  </si>
  <si>
    <t>Pack de cama elástica Glowup 14ft + Set de Basketball</t>
  </si>
  <si>
    <t>R3328</t>
  </si>
  <si>
    <t>Cama Elástica + Malla y Escalera 10ft</t>
  </si>
  <si>
    <t>R3329</t>
  </si>
  <si>
    <t>Cama Elástica + Malla y Escalera 12 ft</t>
  </si>
  <si>
    <t>R3330</t>
  </si>
  <si>
    <t>Cama Elástica + Malla y Escalera 14 ft</t>
  </si>
  <si>
    <t>R3331</t>
  </si>
  <si>
    <t>Cama Elástica + Malla y Escalera 6ft</t>
  </si>
  <si>
    <t>R3332</t>
  </si>
  <si>
    <t>Cama Elástica + Malla y Escalera 8ft</t>
  </si>
  <si>
    <t>R4290</t>
  </si>
  <si>
    <t>Pelela Baby Potty Celeste</t>
  </si>
  <si>
    <t>Mundo bebé</t>
  </si>
  <si>
    <t>R5943</t>
  </si>
  <si>
    <t>Cama Elástica + Malla 4,5ft</t>
  </si>
  <si>
    <t>R5948</t>
  </si>
  <si>
    <t>Bicicleta Infantil Madera Roja</t>
  </si>
  <si>
    <t>R5973</t>
  </si>
  <si>
    <t>Piscina 210x150x65cm 850 Litros Calipso</t>
  </si>
  <si>
    <t>R5974</t>
  </si>
  <si>
    <t>Piscina 150x105x50cm 350 Litros Calipso</t>
  </si>
  <si>
    <t>R5984</t>
  </si>
  <si>
    <t>Water Play Alfombra Rociadora Agua Playa</t>
  </si>
  <si>
    <t>R5985</t>
  </si>
  <si>
    <t>Water Play Alfombra Rociadora Agua Clásico</t>
  </si>
  <si>
    <t>R5987</t>
  </si>
  <si>
    <t>Lentes Infantil Filtro Luz Azul Orange Glow</t>
  </si>
  <si>
    <t>R5988</t>
  </si>
  <si>
    <t>Lentes Infantil Filtro Luz Azul Rose Red</t>
  </si>
  <si>
    <t>R5989</t>
  </si>
  <si>
    <t>Lentes Infantil Filtro Luz Azul Black</t>
  </si>
  <si>
    <t>R5990</t>
  </si>
  <si>
    <t>Lentes Infantil Filtro Luz Azul Blue Orange</t>
  </si>
  <si>
    <t>R5991</t>
  </si>
  <si>
    <t>Lentes Infantil Filtro Luz Azul Rose</t>
  </si>
  <si>
    <t>R5992</t>
  </si>
  <si>
    <t>Lentes Infantil Filtro Luz Azul Black Rose</t>
  </si>
  <si>
    <t>R5993</t>
  </si>
  <si>
    <t>Lentes Infantil Filtro Luz Azul Black Glow</t>
  </si>
  <si>
    <t>R5994</t>
  </si>
  <si>
    <t>Lentes Infantil Filtro Luz Azul Black Red</t>
  </si>
  <si>
    <t>R6052</t>
  </si>
  <si>
    <t>Cama Elástica + Malla y Escalera 8ft Edición Limitada</t>
  </si>
  <si>
    <t>R6053</t>
  </si>
  <si>
    <t>Cama Elástica + Malla y Escalera 10ft Edición Limitada</t>
  </si>
  <si>
    <t>R6054</t>
  </si>
  <si>
    <t>Columpio Ovalado Glowup</t>
  </si>
  <si>
    <t>R6055</t>
  </si>
  <si>
    <t>Columpio Rectangular Glowup</t>
  </si>
  <si>
    <t>R6056</t>
  </si>
  <si>
    <t>Escalador Columpio Glowup</t>
  </si>
  <si>
    <t>R6057</t>
  </si>
  <si>
    <t>Columpio Goma Eva Glowup Azul</t>
  </si>
  <si>
    <t>R6058</t>
  </si>
  <si>
    <t>Escalador Infantil Glowup</t>
  </si>
  <si>
    <t>R6059</t>
  </si>
  <si>
    <t>Columpio Goma Eva Glowup Rojo</t>
  </si>
  <si>
    <t>R6157</t>
  </si>
  <si>
    <t>Cama Elástica + Malla y Escalera 6ft Edición Limitada</t>
  </si>
  <si>
    <t>R6178</t>
  </si>
  <si>
    <t>Cama elástica Glowup 1,83 mt 6ft Edición Exclusiva  R</t>
  </si>
  <si>
    <t>R6179</t>
  </si>
  <si>
    <t>Cama elástica Glowup 2,44 mt 8ft Edición Exclusiva R</t>
  </si>
  <si>
    <t>R6180</t>
  </si>
  <si>
    <t>Cama elástica Glowup 2,44 mt 8ft Edición Exclusiva Edición  P</t>
  </si>
  <si>
    <t>R6181</t>
  </si>
  <si>
    <t>Cama elástica Glowup 2,44 mt 8ft Edición Exclusiva F</t>
  </si>
  <si>
    <t>R6182</t>
  </si>
  <si>
    <t>Cama elástica Glowup 3,05 mt 10ft Edición Exclusiva P</t>
  </si>
  <si>
    <t>R6183</t>
  </si>
  <si>
    <t>Cama elástica Glowup 3,05 mt 10ft Edición Exclusiva F</t>
  </si>
  <si>
    <t>R6292</t>
  </si>
  <si>
    <t>Flotador de espalda Glowup</t>
  </si>
  <si>
    <t>R6351</t>
  </si>
  <si>
    <t>Pack Columpio Rectangular + Escalador Columpio</t>
  </si>
  <si>
    <t>R6353</t>
  </si>
  <si>
    <t>Pack de cama elástica Glowup 6 ft Ed Exclusiva R + Set de Basketball</t>
  </si>
  <si>
    <t>R6354</t>
  </si>
  <si>
    <t>Pack de cama elástica Glowup 8 ft Ed Exclusiva R + Set de Basketball</t>
  </si>
  <si>
    <t>R6355</t>
  </si>
  <si>
    <t>Pack de cama elástica Glowup 8 ft Ed Exclusiva P + Set de Basketball</t>
  </si>
  <si>
    <t>R6356</t>
  </si>
  <si>
    <t>Pack de cama elástica Glowup 8 ft Ed Exclusiva F + Set de Basketball</t>
  </si>
  <si>
    <t>R6357</t>
  </si>
  <si>
    <t>Pack de cama elástica Glowup 10ft Ed Exclusiva P + Set de Basketball</t>
  </si>
  <si>
    <t>R6358</t>
  </si>
  <si>
    <t>Pack de cama elástica Glowup 10ft Ed Exclusiva F + Set de Basketball</t>
  </si>
  <si>
    <t>R6531</t>
  </si>
  <si>
    <t>Piscina Estructural Glowup 42X228X159 CM</t>
  </si>
  <si>
    <t>R6532</t>
  </si>
  <si>
    <t>Piscina Estructural Glowup 260X160X65 CM</t>
  </si>
  <si>
    <t>R6533</t>
  </si>
  <si>
    <t>Piscina Estructural Glowup 200X300X75 CM</t>
  </si>
  <si>
    <t>R6538</t>
  </si>
  <si>
    <t>Bomba de filtro Glowup 3.000L</t>
  </si>
  <si>
    <t>R6565</t>
  </si>
  <si>
    <t>Gimnasio para Bebes con Piano</t>
  </si>
  <si>
    <t>R6566</t>
  </si>
  <si>
    <t>Reja de Seguridad Retractil</t>
  </si>
  <si>
    <t>R6578</t>
  </si>
  <si>
    <t>Scooter Infantil Glowup Calipso</t>
  </si>
  <si>
    <t>R6586</t>
  </si>
  <si>
    <t>Multi Red Glowup</t>
  </si>
  <si>
    <t>R6608</t>
  </si>
  <si>
    <t>Pack Columpio Ovalado + Escalador Columpio</t>
  </si>
  <si>
    <t>R6613</t>
  </si>
  <si>
    <t>Pack Columpio Eva Azul y Escalador</t>
  </si>
  <si>
    <t>R6614</t>
  </si>
  <si>
    <t>Pack Columpio Eva Rojo y Escalador</t>
  </si>
  <si>
    <t>R6682</t>
  </si>
  <si>
    <t>Bicicleta de Aprendizaje Glowup Miki</t>
  </si>
  <si>
    <t>R6683</t>
  </si>
  <si>
    <t>Bicicleta de Aprendizaje Glowup Lucio</t>
  </si>
  <si>
    <t>R6697</t>
  </si>
  <si>
    <t>Cuatriciclo Glowup Fiori Café</t>
  </si>
  <si>
    <t>R6698</t>
  </si>
  <si>
    <t>Cuatriciclo Glowup Bambi Café</t>
  </si>
  <si>
    <t>R6718</t>
  </si>
  <si>
    <t>Repuesto Cama Elástica 4.5 ft. 30 resortes</t>
  </si>
  <si>
    <t>R6719</t>
  </si>
  <si>
    <t>Repuesto Cama Elástica 6 ft. 36 resortes</t>
  </si>
  <si>
    <t>R6720</t>
  </si>
  <si>
    <t>Repuesto Cama Elástica 8 ft. 42 resortes</t>
  </si>
  <si>
    <t>R6721</t>
  </si>
  <si>
    <t>Repuesto Cama Elástica 10 ft. 30 resortes</t>
  </si>
  <si>
    <t>R6722</t>
  </si>
  <si>
    <t>Repuesto Cama Elástica 12 ft. 36 resortes</t>
  </si>
  <si>
    <t>R6723</t>
  </si>
  <si>
    <t>Repuesto Cama Elástica 14 ft. 44 resortes</t>
  </si>
  <si>
    <t>R6730</t>
  </si>
  <si>
    <t>Cuatriciclo Glowup Fiori Verde</t>
  </si>
  <si>
    <t>R6731</t>
  </si>
  <si>
    <t>Cuatriciclo Glowup Bambi Púrpura</t>
  </si>
  <si>
    <t>R6747</t>
  </si>
  <si>
    <t>Reja Seguridad Escalera Puerta Ajustable Para Bebe-Mascotas blanco</t>
  </si>
  <si>
    <t>R6754</t>
  </si>
  <si>
    <t>Reja Seguridad Escalera Puerta Ajustable Para Bebe-Mascotas Café</t>
  </si>
  <si>
    <t>R6770</t>
  </si>
  <si>
    <t>Cuna corral con mosquitero gris</t>
  </si>
  <si>
    <t>R6775</t>
  </si>
  <si>
    <t>Lonchera Termica Azul</t>
  </si>
  <si>
    <t>R6776</t>
  </si>
  <si>
    <t>Corral Para Bebé Plegable  Portátil Paneles Seguridad</t>
  </si>
  <si>
    <t>R6777</t>
  </si>
  <si>
    <t>Pelela Inodoro Portatil Entrenamiento Niños</t>
  </si>
  <si>
    <t>R6787</t>
  </si>
  <si>
    <t>Estante Infantil Organizador Con Soporte 3 Niveles</t>
  </si>
  <si>
    <t>R6788</t>
  </si>
  <si>
    <t>Organizador De  Juguetes Para Niños</t>
  </si>
  <si>
    <t>R6796</t>
  </si>
  <si>
    <t>Portabebé Ergonómico 3 En 1 Multifuncional con Banano Color Gris</t>
  </si>
  <si>
    <t>R6801</t>
  </si>
  <si>
    <t>Silla De Comer 2 En 1 Bebe</t>
  </si>
  <si>
    <t>R6821</t>
  </si>
  <si>
    <t>Cubre Resortes 6FT Cama elástica</t>
  </si>
  <si>
    <t>R6822</t>
  </si>
  <si>
    <t>Cubre Resortes 8FT Cama elástica</t>
  </si>
  <si>
    <t>R6823</t>
  </si>
  <si>
    <t>Cubre Resortes 10FT Cama elástica</t>
  </si>
  <si>
    <t>R6824</t>
  </si>
  <si>
    <t>Cubre Resortes 12FT Cama elástica</t>
  </si>
  <si>
    <t>R6825</t>
  </si>
  <si>
    <t>Cubre Resortes 14FT Cama elástica</t>
  </si>
  <si>
    <t>R6855</t>
  </si>
  <si>
    <t>Lonchera Termica Blanca</t>
  </si>
  <si>
    <t>R6871</t>
  </si>
  <si>
    <t>Mini Trampolín 3.3ft 1 Mt Aeróbico Fitness Yoga y Juegos GlowUp</t>
  </si>
  <si>
    <t>R6872</t>
  </si>
  <si>
    <t>Mini Trampolín 4 Ft 1.2mt Aeróbico Fitness Yoga y Juegos GlowUp</t>
  </si>
  <si>
    <t>R6882</t>
  </si>
  <si>
    <t>Cuatriciclo Fiori Rosado</t>
  </si>
  <si>
    <t>R6883</t>
  </si>
  <si>
    <t>Cuatriciclo Fiori Azul</t>
  </si>
  <si>
    <t>R6884</t>
  </si>
  <si>
    <t>Cuatriciclo Fiori magenta</t>
  </si>
  <si>
    <t>R6885</t>
  </si>
  <si>
    <t>Cuatriciclo Bambi magenta</t>
  </si>
  <si>
    <t>R6886</t>
  </si>
  <si>
    <t>Cuatriciclo Bambi Verde</t>
  </si>
  <si>
    <t>R6887</t>
  </si>
  <si>
    <t>Cuatriciclo Bambi Azul</t>
  </si>
  <si>
    <t>R6906</t>
  </si>
  <si>
    <t>Bicicleta de Aprendizaje Glowup Luca</t>
  </si>
  <si>
    <t>R6907</t>
  </si>
  <si>
    <t>Bicicleta de Aprendizaje Glowup Ziro</t>
  </si>
  <si>
    <t>R6908</t>
  </si>
  <si>
    <t>Bicicleta de Aprendizaje Glowup Dodo</t>
  </si>
  <si>
    <t>R6912</t>
  </si>
  <si>
    <t>Manta Gravedad niños 1.4KG azul</t>
  </si>
  <si>
    <t>R6913</t>
  </si>
  <si>
    <t>Manta Gravedad niños 1.4KG gris</t>
  </si>
  <si>
    <t>R6914</t>
  </si>
  <si>
    <t>Manta Gravedad niños 2.3KG celeste</t>
  </si>
  <si>
    <t>R6915</t>
  </si>
  <si>
    <t>Manta Gravedad niños 2.3KG violeta</t>
  </si>
  <si>
    <t>R6916</t>
  </si>
  <si>
    <t>Manta Gravedad niños 3.2KG celeste</t>
  </si>
  <si>
    <t>R6917</t>
  </si>
  <si>
    <t>Manta Gravedad niños 3.2KG violeta</t>
  </si>
  <si>
    <t>R6918</t>
  </si>
  <si>
    <t>Manta Gravedad niños 4.5KG azul</t>
  </si>
  <si>
    <t>R6919</t>
  </si>
  <si>
    <t>Manta Gravedad niños 4.5KG gris</t>
  </si>
  <si>
    <t>R6945</t>
  </si>
  <si>
    <t>Juego De Bloques De Construcción Magnéticos 3d 60 Piezas</t>
  </si>
  <si>
    <t>Juguetes</t>
  </si>
  <si>
    <t>R6961</t>
  </si>
  <si>
    <t>Bicicleta Shgat Gira</t>
  </si>
  <si>
    <t>R6962</t>
  </si>
  <si>
    <t>Bicicleta Shgat Koa</t>
  </si>
  <si>
    <t>R6963</t>
  </si>
  <si>
    <t>Bicicleta Shgat Dino</t>
  </si>
  <si>
    <t>R6964</t>
  </si>
  <si>
    <t>Bicicleta Wanyu Aura</t>
  </si>
  <si>
    <t>R6965</t>
  </si>
  <si>
    <t>Bicicleta Wanyu Lumen</t>
  </si>
  <si>
    <t>R6966</t>
  </si>
  <si>
    <t>Bicicleta Wanyu Halo</t>
  </si>
  <si>
    <t>R7026</t>
  </si>
  <si>
    <t>Bicicleta De Equilibrio FLOW Negra Glowup</t>
  </si>
  <si>
    <t>R7027</t>
  </si>
  <si>
    <t>Bicicleta De Equilibrio ZIPPY Verde Menta Glowup</t>
  </si>
  <si>
    <t>R3595</t>
  </si>
  <si>
    <t>Escalera Ático 70x120cm</t>
  </si>
  <si>
    <t>Homeclaf</t>
  </si>
  <si>
    <t>R3765</t>
  </si>
  <si>
    <t>Ionizador Solar Piscina</t>
  </si>
  <si>
    <t>Jardín y Terrazas</t>
  </si>
  <si>
    <t>R5910</t>
  </si>
  <si>
    <t>Bodega Jardín 195x195x125cm Negra</t>
  </si>
  <si>
    <t>R5912</t>
  </si>
  <si>
    <t>Bodega Jardín 195x195x125cm Gris</t>
  </si>
  <si>
    <t>R5913</t>
  </si>
  <si>
    <t>Bodega Jardín 181x162x86cm Negra</t>
  </si>
  <si>
    <t>R5915</t>
  </si>
  <si>
    <t>Bodega Jardín 181x162x86cm Gris</t>
  </si>
  <si>
    <t>R5928</t>
  </si>
  <si>
    <t>Fumigadora y Pistola de Pintar 800 ml</t>
  </si>
  <si>
    <t>R5942</t>
  </si>
  <si>
    <t>Limpiador Piscina Barracuda</t>
  </si>
  <si>
    <t>R5995</t>
  </si>
  <si>
    <t>Accesorio Ionizador</t>
  </si>
  <si>
    <t>R6019</t>
  </si>
  <si>
    <t>CARPA INVERNADERO 12 M2</t>
  </si>
  <si>
    <t>R6020</t>
  </si>
  <si>
    <t>CARPA INVERNADERO 18 M2</t>
  </si>
  <si>
    <t>R6021</t>
  </si>
  <si>
    <t>CARPA INVERNADERO 24 M2</t>
  </si>
  <si>
    <t>R6022</t>
  </si>
  <si>
    <t>CARPA INVERNADERO 36 M2</t>
  </si>
  <si>
    <t>R6352</t>
  </si>
  <si>
    <t>Pack Ionizador de Piscinas + Repuesto</t>
  </si>
  <si>
    <t>R6716</t>
  </si>
  <si>
    <t>Bodega de Jardín 148x93x194/164cms</t>
  </si>
  <si>
    <t>R6717</t>
  </si>
  <si>
    <t>Bodega de jardín 184*130*194/164cms</t>
  </si>
  <si>
    <t>R6735</t>
  </si>
  <si>
    <t>Compresor De Aire Portatil A Batería</t>
  </si>
  <si>
    <t>R6740</t>
  </si>
  <si>
    <t>Pack 10 Bolsas Al Vacio Compresion Ropa varios tamaños</t>
  </si>
  <si>
    <t>R6741</t>
  </si>
  <si>
    <t>Invernadero Armable Tunel 6m²  (3x2x2mts)</t>
  </si>
  <si>
    <t>R6742</t>
  </si>
  <si>
    <t>Mini Invernadero Armable (160x69x48cm)</t>
  </si>
  <si>
    <t>R6748</t>
  </si>
  <si>
    <t>Escalera Multiuso 2 Peldaños</t>
  </si>
  <si>
    <t>R6779</t>
  </si>
  <si>
    <t>Foco Led Solar Exterior 4 Direcciones Sensor Control luz calida</t>
  </si>
  <si>
    <t>R6780</t>
  </si>
  <si>
    <t>Foco Led Solar Exterior 4 Direcciones Sensor Control luz fría</t>
  </si>
  <si>
    <t>R6781</t>
  </si>
  <si>
    <t>Foco Led Solar Exterior Sensor Movimiento 3 Direcciones</t>
  </si>
  <si>
    <t>R6784</t>
  </si>
  <si>
    <t>Foco Solar Led Exterior Pared  + Sensor Luz Fría</t>
  </si>
  <si>
    <t>R6800</t>
  </si>
  <si>
    <t>Set De Alicates Universal Combinados 3 Piezas</t>
  </si>
  <si>
    <t>R6807</t>
  </si>
  <si>
    <t>Foco Solar Led Exterior Pared + Sensor Luz Calida</t>
  </si>
  <si>
    <t>R6808</t>
  </si>
  <si>
    <t>Foco Piscina 12w Mando A Distancia Lámpara Led Subacuática</t>
  </si>
  <si>
    <t>R6909</t>
  </si>
  <si>
    <t>Barracuda CleanPooler Piscina</t>
  </si>
  <si>
    <t>R6923</t>
  </si>
  <si>
    <t>Tabla De Planchar Plegable Y Colgable Casatua Ahorra Espacio azul</t>
  </si>
  <si>
    <t>R6924</t>
  </si>
  <si>
    <t>Tabla De Planchar Plegable Y Colgable Casatua Ahorra Espacio negro</t>
  </si>
  <si>
    <t>R6943</t>
  </si>
  <si>
    <t>Estante Rack metalico 180 X 90 X 40 galvanizado grey</t>
  </si>
  <si>
    <t>R6972</t>
  </si>
  <si>
    <t>Ionizador Solar Piscina hexablue</t>
  </si>
  <si>
    <t>R1008</t>
  </si>
  <si>
    <t>Bandas Suspensión TRX</t>
  </si>
  <si>
    <t>K-FIT</t>
  </si>
  <si>
    <t>Deportes</t>
  </si>
  <si>
    <t>R1151</t>
  </si>
  <si>
    <t>Máquina Abdominales Total Core</t>
  </si>
  <si>
    <t>R5952</t>
  </si>
  <si>
    <t>Mini Elíptica con Bandas Resistencia</t>
  </si>
  <si>
    <t>R5953</t>
  </si>
  <si>
    <t>Máquina Bogadora Remadora</t>
  </si>
  <si>
    <t>R5954</t>
  </si>
  <si>
    <t>Anillas Olímpicas Suspensión</t>
  </si>
  <si>
    <t>R5955</t>
  </si>
  <si>
    <t>Pedalera Home Fitness</t>
  </si>
  <si>
    <t>R5956</t>
  </si>
  <si>
    <t>GYM Multifuncional</t>
  </si>
  <si>
    <t>R6000</t>
  </si>
  <si>
    <t>Set Mancuernas 10 KG</t>
  </si>
  <si>
    <t>R6001</t>
  </si>
  <si>
    <t>Set Mancuernas 15 KG</t>
  </si>
  <si>
    <t>R6002</t>
  </si>
  <si>
    <t>Set Mancuernas 20 KG</t>
  </si>
  <si>
    <t>R6003</t>
  </si>
  <si>
    <t>Set Mancuernas 25 KG</t>
  </si>
  <si>
    <t>R6004</t>
  </si>
  <si>
    <t>Set Mancuernas 30 KG</t>
  </si>
  <si>
    <t>R6005</t>
  </si>
  <si>
    <t>Set Mancuernas 40 KG</t>
  </si>
  <si>
    <t>R6006</t>
  </si>
  <si>
    <t>Set Mancuernas 50 KG</t>
  </si>
  <si>
    <t>R6007</t>
  </si>
  <si>
    <t>Banca Multifuncional Plegable</t>
  </si>
  <si>
    <t>R6008</t>
  </si>
  <si>
    <t>Press Banca Multifuncional</t>
  </si>
  <si>
    <t>R6012</t>
  </si>
  <si>
    <t>Banco Multifuncional con Bandas Elásticas</t>
  </si>
  <si>
    <t>R6046</t>
  </si>
  <si>
    <t>Máquina Remadora Bogadora de Agua Boron</t>
  </si>
  <si>
    <t>R6047</t>
  </si>
  <si>
    <t>Máquina Remadora Bogadora de Agua Valent</t>
  </si>
  <si>
    <t>R6310</t>
  </si>
  <si>
    <t>Bolso de Padel Elda Blanco</t>
  </si>
  <si>
    <t>Disciplinas</t>
  </si>
  <si>
    <t>R6311</t>
  </si>
  <si>
    <t>Bolso de Padel Elda Rosado</t>
  </si>
  <si>
    <t>R6312</t>
  </si>
  <si>
    <t>Bolso de Padel Elda Calipso</t>
  </si>
  <si>
    <t>R6313</t>
  </si>
  <si>
    <t>Mochila de Padel Hada Azul</t>
  </si>
  <si>
    <t>R6314</t>
  </si>
  <si>
    <t>Mochila de Padel Hada Rosado</t>
  </si>
  <si>
    <t>R6315</t>
  </si>
  <si>
    <t>Mochila de Padel Hada Negro</t>
  </si>
  <si>
    <t>R6316</t>
  </si>
  <si>
    <t>Bolso de Padel Zowie Dorado</t>
  </si>
  <si>
    <t>R6317</t>
  </si>
  <si>
    <t>Bolso de Padel Zowie Morado</t>
  </si>
  <si>
    <t>R6318</t>
  </si>
  <si>
    <t>Mochila de Padel Lucio Negro</t>
  </si>
  <si>
    <t>R6319</t>
  </si>
  <si>
    <t>Mochila de Padel Lucio Morado</t>
  </si>
  <si>
    <t>R6320</t>
  </si>
  <si>
    <t>Mochila de Padel Lucio Gris</t>
  </si>
  <si>
    <t>R6321</t>
  </si>
  <si>
    <t>Mochila de Padel Kanu Gris</t>
  </si>
  <si>
    <t>R6322</t>
  </si>
  <si>
    <t>Mochila de Padel Kanu Negro</t>
  </si>
  <si>
    <t>R6366</t>
  </si>
  <si>
    <t>Pesa Rusa Kettlebell 4kg</t>
  </si>
  <si>
    <t>R6367</t>
  </si>
  <si>
    <t>Pesa Rusa Kettlebell 6kg</t>
  </si>
  <si>
    <t>R6368</t>
  </si>
  <si>
    <t>Pesa Rusa Kettlebell 8kg</t>
  </si>
  <si>
    <t>R6369</t>
  </si>
  <si>
    <t>Pesa Rusa Kettlebell 10kg</t>
  </si>
  <si>
    <t>R6370</t>
  </si>
  <si>
    <t>Pesa Rusa Kettlebell 12kg</t>
  </si>
  <si>
    <t>R6371</t>
  </si>
  <si>
    <t>Pesa Rusa Kettlebell 14kg</t>
  </si>
  <si>
    <t>R6378</t>
  </si>
  <si>
    <t>Protector Palas de Padel K-FIT</t>
  </si>
  <si>
    <t>R6379</t>
  </si>
  <si>
    <t>Pala Padel Carbon Fiera</t>
  </si>
  <si>
    <t>R6380</t>
  </si>
  <si>
    <t>Pala Padel 3k Carbon Fiera</t>
  </si>
  <si>
    <t>R6381</t>
  </si>
  <si>
    <t>Pala Padel Carbon Feroz</t>
  </si>
  <si>
    <t>R6383</t>
  </si>
  <si>
    <t>Over Gripp K-FIT Negro Pack 9 Unidades</t>
  </si>
  <si>
    <t>R6444</t>
  </si>
  <si>
    <t>Tubo Recoge Pelotas K-FIT</t>
  </si>
  <si>
    <t>R6445</t>
  </si>
  <si>
    <t>Canasto Pelotas Pádel K-FIT</t>
  </si>
  <si>
    <t>R6446</t>
  </si>
  <si>
    <t>Malla de Cancha de Padel</t>
  </si>
  <si>
    <t>R6447</t>
  </si>
  <si>
    <t>Arco de Futbol S K-FIT</t>
  </si>
  <si>
    <t>R6448</t>
  </si>
  <si>
    <t>Arco de Futbol M K-FIT</t>
  </si>
  <si>
    <t>R6449</t>
  </si>
  <si>
    <t>Arco de Futbol L K-FIT</t>
  </si>
  <si>
    <t>R6450</t>
  </si>
  <si>
    <t>Aro de Basketball de Pared K-FIT</t>
  </si>
  <si>
    <t>R6451</t>
  </si>
  <si>
    <t>Pack 3 Tarros Pelotas Padel K-FIT</t>
  </si>
  <si>
    <t>R6455</t>
  </si>
  <si>
    <t>Paleta de Ping Pong K-FIT</t>
  </si>
  <si>
    <t>R6456</t>
  </si>
  <si>
    <t>Set de 2 Paletas de Ping Pong + 3 Pelotas K-FIT</t>
  </si>
  <si>
    <t>R6457</t>
  </si>
  <si>
    <t>Set de 2 Paletas Ping Pong + Malla + 3 Pelotas K-FIT</t>
  </si>
  <si>
    <t>R6458</t>
  </si>
  <si>
    <t>Pelotas de Ping Pong ttb 100*40+ x6 naranja</t>
  </si>
  <si>
    <t>R6459</t>
  </si>
  <si>
    <t>Pelotas de Ping Pong ttb 100 40+ x6 blanco</t>
  </si>
  <si>
    <t>R6460</t>
  </si>
  <si>
    <t>Pelotas de Ping Pong ttb 900 40+ 3* x3 blancas</t>
  </si>
  <si>
    <t>R6462</t>
  </si>
  <si>
    <t>Malla de Ping Pong ppn 183 cm</t>
  </si>
  <si>
    <t>R6463</t>
  </si>
  <si>
    <t>Raqueta de Tenis Niños K-FIT Jr. 23 Azul K6463</t>
  </si>
  <si>
    <t>R6464</t>
  </si>
  <si>
    <t>Raqueta de Tenis Adultos K-FIT K6464</t>
  </si>
  <si>
    <t>R6465</t>
  </si>
  <si>
    <t>Raqueta de Tenis Adultos K-FIT Grafito K6465</t>
  </si>
  <si>
    <t>R6466</t>
  </si>
  <si>
    <t>Pelota de Tenis K-FIT x3</t>
  </si>
  <si>
    <t>R6467</t>
  </si>
  <si>
    <t>Pelota de Tenis K-FIT x4</t>
  </si>
  <si>
    <t>R6470</t>
  </si>
  <si>
    <t>Muñequera Larga de Tenis K-FIT</t>
  </si>
  <si>
    <t>R6552</t>
  </si>
  <si>
    <t>Malla de Arco de Futbol M</t>
  </si>
  <si>
    <t>R6553</t>
  </si>
  <si>
    <t>Malla de Arco de Futbol L</t>
  </si>
  <si>
    <t>R6554</t>
  </si>
  <si>
    <t>Medallas Torneos Club K-FIT</t>
  </si>
  <si>
    <t>R6555</t>
  </si>
  <si>
    <t>Jockey K-FIT</t>
  </si>
  <si>
    <t>R6583</t>
  </si>
  <si>
    <t>Pack 24 Tarros Pelotas Padel K-FIT</t>
  </si>
  <si>
    <t>R6588</t>
  </si>
  <si>
    <t>Polera Padel K-FIT Negra Talla S</t>
  </si>
  <si>
    <t>R6589</t>
  </si>
  <si>
    <t>Polera Padel K-FIT Negra Talla M</t>
  </si>
  <si>
    <t>R6590</t>
  </si>
  <si>
    <t>Polera Padel K-FIT Negra Talla L</t>
  </si>
  <si>
    <t>R6592</t>
  </si>
  <si>
    <t>Polera Padel K-FIT Blanca Talla S</t>
  </si>
  <si>
    <t>R6593</t>
  </si>
  <si>
    <t>Polera Padel K-FIT Blanca Talla M</t>
  </si>
  <si>
    <t>R6594</t>
  </si>
  <si>
    <t>Polera Padel K-FIT Blanca Talla L</t>
  </si>
  <si>
    <t>R6595</t>
  </si>
  <si>
    <t>Polera Padel K-FIT Blanca Talla XL</t>
  </si>
  <si>
    <t>R6766</t>
  </si>
  <si>
    <t>Toallas De Microfibra Azul (120x60cm-80x30cm + Estuche)</t>
  </si>
  <si>
    <t>R6767</t>
  </si>
  <si>
    <t>Aro De Basketball Plataforma Slating Pole Profesional</t>
  </si>
  <si>
    <t>R6768</t>
  </si>
  <si>
    <t>Retornador 360° De Pelota Basketball Entrenamiento</t>
  </si>
  <si>
    <t>R6864</t>
  </si>
  <si>
    <t>Toallas De Microfibra Violeta (120x60cm-80x30cm + Estuche)</t>
  </si>
  <si>
    <t>R6881</t>
  </si>
  <si>
    <t>Bicicleta Spinning 6kg</t>
  </si>
  <si>
    <t>R6967</t>
  </si>
  <si>
    <t>4 paletas + 12 pelotas</t>
  </si>
  <si>
    <t>R1010</t>
  </si>
  <si>
    <t>Baño Portátil + Caseta y Ducha Solar 20L Verde</t>
  </si>
  <si>
    <t>Miglu</t>
  </si>
  <si>
    <t>Camping y Outdoor</t>
  </si>
  <si>
    <t>R1092</t>
  </si>
  <si>
    <t>Mochila Hidratación 2L Turquesa</t>
  </si>
  <si>
    <t>R1190</t>
  </si>
  <si>
    <t>Bañoquímico Portátil Miglú 20lt + Ducha Solar</t>
  </si>
  <si>
    <t>R4017</t>
  </si>
  <si>
    <t>Mochila Hidratación 2L Negra</t>
  </si>
  <si>
    <t>R4018</t>
  </si>
  <si>
    <t>Mochila Hidratación 2L Verde</t>
  </si>
  <si>
    <t>R4019</t>
  </si>
  <si>
    <t>Mochila Hidratación 2L Rosada</t>
  </si>
  <si>
    <t>R6123</t>
  </si>
  <si>
    <t>Silla plegable de camping naranja</t>
  </si>
  <si>
    <t>R6124</t>
  </si>
  <si>
    <t>Silla plegable de camping azul</t>
  </si>
  <si>
    <t>R6125</t>
  </si>
  <si>
    <t>Toldo vela triangular color kaki + kit de instalación</t>
  </si>
  <si>
    <t>Terraza y Jardín</t>
  </si>
  <si>
    <t>R6126</t>
  </si>
  <si>
    <t>Toldo vela triangular color gris + kit de instalación</t>
  </si>
  <si>
    <t>R6127</t>
  </si>
  <si>
    <t>Toldo vela triangular color blanco + kit de instalación</t>
  </si>
  <si>
    <t>R6128</t>
  </si>
  <si>
    <t>Toldo vela triangular color marengo + kit de instalación</t>
  </si>
  <si>
    <t>R6129</t>
  </si>
  <si>
    <t>Toldo vela triangular color negro + kit de instalación</t>
  </si>
  <si>
    <t>R6130</t>
  </si>
  <si>
    <t>Hamaca miglu azul</t>
  </si>
  <si>
    <t>R6131</t>
  </si>
  <si>
    <t>Hamaca miglu gris</t>
  </si>
  <si>
    <t>R6132</t>
  </si>
  <si>
    <t>Hamaca miglu roja</t>
  </si>
  <si>
    <t>R6133</t>
  </si>
  <si>
    <t>Hamaca miglu naranja</t>
  </si>
  <si>
    <t>R6134</t>
  </si>
  <si>
    <t>Juego de mesa con sillas plegables rojo</t>
  </si>
  <si>
    <t>R6135</t>
  </si>
  <si>
    <t>Juego de mesa con sillas plegables verde</t>
  </si>
  <si>
    <t>R6136</t>
  </si>
  <si>
    <t>Juego de mesa con sillas plegables azul</t>
  </si>
  <si>
    <t>R6137</t>
  </si>
  <si>
    <t>Mesa de camping con pisos</t>
  </si>
  <si>
    <t>R6534</t>
  </si>
  <si>
    <t>Colchon Inflable Miglu  191x73x22</t>
  </si>
  <si>
    <t>R6535</t>
  </si>
  <si>
    <t>Colchon Inflable Miglu 191x137x22</t>
  </si>
  <si>
    <t>R6539</t>
  </si>
  <si>
    <t>Carpa Miglu para 6-8 personas</t>
  </si>
  <si>
    <t>R6540</t>
  </si>
  <si>
    <t>Carpa Miglu para 3-4 personas</t>
  </si>
  <si>
    <t>R6541</t>
  </si>
  <si>
    <t>Carpa Miglu para 2 personas</t>
  </si>
  <si>
    <t>R6542</t>
  </si>
  <si>
    <t>Cocinilla Portatil a Gas Miglu</t>
  </si>
  <si>
    <t>R6543</t>
  </si>
  <si>
    <t>Baño Químico Portatil Miglu</t>
  </si>
  <si>
    <t>R6544</t>
  </si>
  <si>
    <t>Toldo Multiproposito Camping Miglu Blanco</t>
  </si>
  <si>
    <t>R6550</t>
  </si>
  <si>
    <t>Set de Camping Miglu 12 piezas</t>
  </si>
  <si>
    <t>R6551</t>
  </si>
  <si>
    <t>Set de Camping Miglu 16 piezas</t>
  </si>
  <si>
    <t>R6648</t>
  </si>
  <si>
    <t>Carpa Miglu para 3-4 personas + Colchon Inflable Miglu 191x137x22</t>
  </si>
  <si>
    <t>R6649</t>
  </si>
  <si>
    <t>Carpa Miglu para 3-4 personas + Colchon Inflable Miglu  191x73x22</t>
  </si>
  <si>
    <t>R6710</t>
  </si>
  <si>
    <t>Kit Eco Camping Miglu Baño</t>
  </si>
  <si>
    <t>R6711</t>
  </si>
  <si>
    <t>Kit Baño Quimico + Luz Solar</t>
  </si>
  <si>
    <t>R6712</t>
  </si>
  <si>
    <t>Cooler Bag Miglu 37.5*24*29.5cm</t>
  </si>
  <si>
    <t>R6713</t>
  </si>
  <si>
    <t>Carrito de Camping Miglu</t>
  </si>
  <si>
    <t>R6734</t>
  </si>
  <si>
    <t>Mochila Para Notebook Impermeable Antirrobo</t>
  </si>
  <si>
    <t>R6736</t>
  </si>
  <si>
    <t>Mochila Outdoor Militar 45L Impermeable-Negro</t>
  </si>
  <si>
    <t>R6756</t>
  </si>
  <si>
    <t>Portabicicletas Para Portalón Camioneta Pick-up</t>
  </si>
  <si>
    <t>Automóvil</t>
  </si>
  <si>
    <t>R6795</t>
  </si>
  <si>
    <t>Mochila Portabebé + Techo trekking Color Celeste</t>
  </si>
  <si>
    <t>R6806</t>
  </si>
  <si>
    <t>Silla De Playa Estampada</t>
  </si>
  <si>
    <t>R6810</t>
  </si>
  <si>
    <t>Mochila viaje Large Travel Backpack color negro 40L</t>
  </si>
  <si>
    <t>R1032</t>
  </si>
  <si>
    <t>Baño Ecológico Pet Potty Mascotas</t>
  </si>
  <si>
    <t>PetWoow</t>
  </si>
  <si>
    <t>Mascotas</t>
  </si>
  <si>
    <t>R2986</t>
  </si>
  <si>
    <t>100 Toallas Entrenamiento Mascotas</t>
  </si>
  <si>
    <t>R5615</t>
  </si>
  <si>
    <t>Dispensador Alimento Mascotas con Cámara y Audio</t>
  </si>
  <si>
    <t>R5616</t>
  </si>
  <si>
    <t>Dispensador Alimento Mascotas con Parlante</t>
  </si>
  <si>
    <t>R5976</t>
  </si>
  <si>
    <t>Alimentador Mascotas Blanco - Azul</t>
  </si>
  <si>
    <t>R5977</t>
  </si>
  <si>
    <t>Dispensador Agua Mascotas 2L Negro</t>
  </si>
  <si>
    <t>R5978</t>
  </si>
  <si>
    <t>Dispensador Agua Mascotas 2L Verde</t>
  </si>
  <si>
    <t>R5979</t>
  </si>
  <si>
    <t>Dispensador Agua Mascotas 2L Rosado</t>
  </si>
  <si>
    <t>R5980</t>
  </si>
  <si>
    <t>Dispensador Agua Mascotas 2L Azul</t>
  </si>
  <si>
    <t>R6094</t>
  </si>
  <si>
    <t>Filtros Dispensadores de Agua 4 unidades</t>
  </si>
  <si>
    <t>R6095</t>
  </si>
  <si>
    <t>Filtros Dispensadores de Agua con Rejilla 6 unidades</t>
  </si>
  <si>
    <t>R6155</t>
  </si>
  <si>
    <t>Cama para mascotas 68x50x40 Gris</t>
  </si>
  <si>
    <t>R6158</t>
  </si>
  <si>
    <t>Cama para mascotas 68x50x40 Beige Claro</t>
  </si>
  <si>
    <t>R6159</t>
  </si>
  <si>
    <t>Cama para mascotas 68x50x40 Azul</t>
  </si>
  <si>
    <t>R6160</t>
  </si>
  <si>
    <t>Cama para mascotas 68x50x40 Beige</t>
  </si>
  <si>
    <t>R6201</t>
  </si>
  <si>
    <t>Cama Mascota Lucky 75x59x14 cm M</t>
  </si>
  <si>
    <t>R6202</t>
  </si>
  <si>
    <t>Cama Mascota Lucky 90x69x15 cm L</t>
  </si>
  <si>
    <t>R6203</t>
  </si>
  <si>
    <t>Cama Mascota Luna 80x55x23 cm M</t>
  </si>
  <si>
    <t>R6204</t>
  </si>
  <si>
    <t>Cama Mascota Bruno 89x56x10 cm L</t>
  </si>
  <si>
    <t>R6205</t>
  </si>
  <si>
    <t>Cama Mascota Rocky 74x48x6 cm M</t>
  </si>
  <si>
    <t>R6206</t>
  </si>
  <si>
    <t>Cama Mascota Bruno 74x48x10 cm M</t>
  </si>
  <si>
    <t>R6207</t>
  </si>
  <si>
    <t>Cama Mascota Maite Gris 80x67x10 cm M</t>
  </si>
  <si>
    <t>R6208</t>
  </si>
  <si>
    <t>Cama Mascota Maite 100x80x10 cm L</t>
  </si>
  <si>
    <t>R6209</t>
  </si>
  <si>
    <t>Cama Roller Mascota Toby 112x67 cm</t>
  </si>
  <si>
    <t>R6210</t>
  </si>
  <si>
    <t>Cama Roller Mascota Maya 112x67 cm</t>
  </si>
  <si>
    <t>R6270</t>
  </si>
  <si>
    <t>Casa Mascota 75x59x66 Skylight</t>
  </si>
  <si>
    <t>R6272</t>
  </si>
  <si>
    <t>Casa Mascota 87x72x75 Skylight</t>
  </si>
  <si>
    <t>R6275</t>
  </si>
  <si>
    <t>Casa Mascota 82x54x71 Duke</t>
  </si>
  <si>
    <t>R6323</t>
  </si>
  <si>
    <t>Rascador de Gatos Petwoow 135x55x36</t>
  </si>
  <si>
    <t>R6546</t>
  </si>
  <si>
    <t>Casa Mascota 91x69x66 Maxi</t>
  </si>
  <si>
    <t>R6547</t>
  </si>
  <si>
    <t>Arenero Gatos Cerrado Gris  52x41x40.5 Petwoow</t>
  </si>
  <si>
    <t>R6548</t>
  </si>
  <si>
    <t>Arenero Gatos Abierto 47x39x20 Petwoow</t>
  </si>
  <si>
    <t>R6549</t>
  </si>
  <si>
    <t>Arenero Gatos Cuadrado 48x36x38 Petwoow</t>
  </si>
  <si>
    <t>R6560</t>
  </si>
  <si>
    <t>Cama Mascota Redonda Petwoow Gris Claro 76x76x17</t>
  </si>
  <si>
    <t>R6561</t>
  </si>
  <si>
    <t>Rascador de Gatos Petwoow 56x30x30</t>
  </si>
  <si>
    <t>R6562</t>
  </si>
  <si>
    <t>Rascador de Gatos Petwoow 44x40x40</t>
  </si>
  <si>
    <t>R6563</t>
  </si>
  <si>
    <t>Rascador de Gatos Petwoow Triangulo 45.5x39x27</t>
  </si>
  <si>
    <t>R6567</t>
  </si>
  <si>
    <t>Mochila Transportadora Lucy Petwoow 32x29x42</t>
  </si>
  <si>
    <t>R6568</t>
  </si>
  <si>
    <t>Mochila Transportadora Lucy Petwoow 42x64x32</t>
  </si>
  <si>
    <t>R6587</t>
  </si>
  <si>
    <t>Cama Mascota Redonda Petwoow Gris Oscuro 76x76x17</t>
  </si>
  <si>
    <t>R6642</t>
  </si>
  <si>
    <t>Rascador de Gatos 135x55x36 + Arenero Gatos Cerrado Gris  52x41x40.5</t>
  </si>
  <si>
    <t>R6714</t>
  </si>
  <si>
    <t>Rascador de Gatos 154x54x48</t>
  </si>
  <si>
    <t>R6849</t>
  </si>
  <si>
    <t>50 Toallas Entrenamiento Para Perros y gatos 90x60cm</t>
  </si>
  <si>
    <t>R6850</t>
  </si>
  <si>
    <t>100 Toallas Entrenamiento Para Perros gatos 90x60cm</t>
  </si>
  <si>
    <t>R6851</t>
  </si>
  <si>
    <t>100 Toallas Entrenamiento Para Perros Gatos 45x60cm Carbono</t>
  </si>
  <si>
    <t>R6852</t>
  </si>
  <si>
    <t>100 Toallas Entrenamiento Para Perros 45x60cm + 12 Guantes Limpieza</t>
  </si>
  <si>
    <t>R6853</t>
  </si>
  <si>
    <t>Guantes limpieza mascotas perros y gatos x 6 Unidades</t>
  </si>
  <si>
    <t>R6954</t>
  </si>
  <si>
    <t>Guantes limpieza mascotas perros y gatos x 36 unidades</t>
  </si>
  <si>
    <t>R1154</t>
  </si>
  <si>
    <t>Pack 2 Búhos Espanta Plagas</t>
  </si>
  <si>
    <t>Rebajas</t>
  </si>
  <si>
    <t>Hogar y Jardín</t>
  </si>
  <si>
    <t>R3022</t>
  </si>
  <si>
    <t>Búho Espanta Plagas</t>
  </si>
  <si>
    <t>R3225</t>
  </si>
  <si>
    <t>BaÃ±ador de perro  Chico</t>
  </si>
  <si>
    <t>R3226</t>
  </si>
  <si>
    <t>BaÃ±ador de perro  Grande</t>
  </si>
  <si>
    <t>R5555</t>
  </si>
  <si>
    <t>Gata Hidráulica 2 Toneladas</t>
  </si>
  <si>
    <t>R5628</t>
  </si>
  <si>
    <t>100 Micas Laminas Termolaminado A4</t>
  </si>
  <si>
    <t>Oficina</t>
  </si>
  <si>
    <t>R6733</t>
  </si>
  <si>
    <t>Caja Organizadora De Zapatos Set 4 unidades</t>
  </si>
  <si>
    <t>R6737</t>
  </si>
  <si>
    <t>Secador de Platos/loza Inoxidable 2 Niveles</t>
  </si>
  <si>
    <t>R6738</t>
  </si>
  <si>
    <t>Secador de Platos/loza 3 Niveles-Negro</t>
  </si>
  <si>
    <t>R6739</t>
  </si>
  <si>
    <t>Pack Colgador Ropa Antideslizante Gancho 50 unidades</t>
  </si>
  <si>
    <t>R6743</t>
  </si>
  <si>
    <t>Perchero Colgador De Ropa  Acero Inoxidable Doble Color Negro</t>
  </si>
  <si>
    <t>R6749</t>
  </si>
  <si>
    <t>Compresa Gel Frio Calor XL con velcros ajustable</t>
  </si>
  <si>
    <t>R6751</t>
  </si>
  <si>
    <t>Baño Inodoro WC Portátil Plegable con Silla Ducha</t>
  </si>
  <si>
    <t>R6752</t>
  </si>
  <si>
    <t>Silla Para Baño Portatil Plegable Adulto</t>
  </si>
  <si>
    <t>R6753</t>
  </si>
  <si>
    <t>Silla Para Baño Portatil Plegable con Silla Inodoro</t>
  </si>
  <si>
    <t>R6762</t>
  </si>
  <si>
    <t>Especiero Giratorio Acero Inoxidable 8 condimentos</t>
  </si>
  <si>
    <t>R6763</t>
  </si>
  <si>
    <t>Especiero Giratorio Vidrio  Acero Inoxidable 16 Condimentos</t>
  </si>
  <si>
    <t>R6764</t>
  </si>
  <si>
    <t>Contenedores Con Tapa organizador Refrigerador 4 unidades</t>
  </si>
  <si>
    <t>R6771</t>
  </si>
  <si>
    <t>Pack de 2 almohadas con tecnología para regular temperatura</t>
  </si>
  <si>
    <t>R6773</t>
  </si>
  <si>
    <t>Secador De Loza Platos 2 Niveles Negro</t>
  </si>
  <si>
    <t>R6774</t>
  </si>
  <si>
    <t>Cajas Organizadoras Plegables Closet Ropa Accs. Color Gris</t>
  </si>
  <si>
    <t>R6778</t>
  </si>
  <si>
    <t>Estudio Fotográfico Portátil 40x40</t>
  </si>
  <si>
    <t>Fotografía</t>
  </si>
  <si>
    <t>R6783</t>
  </si>
  <si>
    <t>Baston Muleta  Ortopedica - Color Gris</t>
  </si>
  <si>
    <t>R6785</t>
  </si>
  <si>
    <t>Aire Acondicionado Calefactor De Pared Frio Calor 2 En 1 Color Blanco</t>
  </si>
  <si>
    <t>R6791</t>
  </si>
  <si>
    <t>Pack 3 Paños Cocina 50x70cm</t>
  </si>
  <si>
    <t>R6802</t>
  </si>
  <si>
    <t>Batería De Cocina 15 Piezas Acero Inoxidable Plateado</t>
  </si>
  <si>
    <t>R6812</t>
  </si>
  <si>
    <t>Pack 12 Paños Cocina Algodon Grueso Sin Fleco</t>
  </si>
  <si>
    <t>R6814</t>
  </si>
  <si>
    <t>Carpa para baño químico o vestidor camping</t>
  </si>
  <si>
    <t>R6836</t>
  </si>
  <si>
    <t>Rack tipo cava para 24 botellas</t>
  </si>
  <si>
    <t>R6837</t>
  </si>
  <si>
    <t>Repisa para 2 botellas de vino</t>
  </si>
  <si>
    <t>R6838</t>
  </si>
  <si>
    <t>Soporte para botellas</t>
  </si>
  <si>
    <t>R6839</t>
  </si>
  <si>
    <t>Soporte flotante para vinos</t>
  </si>
  <si>
    <t>R6840</t>
  </si>
  <si>
    <t>Mueble tipo cava para almacenar botellas</t>
  </si>
  <si>
    <t>R6841</t>
  </si>
  <si>
    <t>Estante bodega lineal para vinos</t>
  </si>
  <si>
    <t>R6842</t>
  </si>
  <si>
    <t>Soporte para botellas de vino diagonal</t>
  </si>
  <si>
    <t>R6843</t>
  </si>
  <si>
    <t>Rack tipo cava para botellas de vino</t>
  </si>
  <si>
    <t>R6845</t>
  </si>
  <si>
    <t>Estante de Madera U-Form 15,3 x 39,9 cm</t>
  </si>
  <si>
    <t>R6846</t>
  </si>
  <si>
    <t>Estante de Madera U-Form 15,3 x 60 cm</t>
  </si>
  <si>
    <t>R6848</t>
  </si>
  <si>
    <t>Catre Clinico Manual + Porta Suero + Colchon</t>
  </si>
  <si>
    <t>R6892</t>
  </si>
  <si>
    <t>Pack Muleta x2</t>
  </si>
  <si>
    <t>R1015</t>
  </si>
  <si>
    <t>Bolsa grande para supermercado con compartimiento de frÃ­o</t>
  </si>
  <si>
    <t>Sin Marca</t>
  </si>
  <si>
    <t>Sin Categoria</t>
  </si>
  <si>
    <t>R1024</t>
  </si>
  <si>
    <t>Caja Organizadora Zapatos Blanco</t>
  </si>
  <si>
    <t>R1165</t>
  </si>
  <si>
    <t>Trotadora Manual Azul</t>
  </si>
  <si>
    <t>R1187</t>
  </si>
  <si>
    <t>Pack Limpiador de Pisicina + Ionizador</t>
  </si>
  <si>
    <t>R1759</t>
  </si>
  <si>
    <t>Mesa plegable blanca + 2 bancas de 1.8 mts</t>
  </si>
  <si>
    <t>R1809</t>
  </si>
  <si>
    <t>Mascarilla Kn95 Unitario</t>
  </si>
  <si>
    <t>R2739</t>
  </si>
  <si>
    <t>Silla Poltrona Eames Patchwork Calgary</t>
  </si>
  <si>
    <t>R2740</t>
  </si>
  <si>
    <t>Silla Poltrona Eames Patchwork Delhi</t>
  </si>
  <si>
    <t>R2742</t>
  </si>
  <si>
    <t>Silla Eames Cojín París Blanca</t>
  </si>
  <si>
    <t>R2743</t>
  </si>
  <si>
    <t>Silla Poltrona Eames Patchwork Casinelli</t>
  </si>
  <si>
    <t>R2744</t>
  </si>
  <si>
    <t>Silla Eames Cojín París Negra</t>
  </si>
  <si>
    <t>R2793</t>
  </si>
  <si>
    <t>Pack 10 Cajas Organizadora Zapatos Blanco</t>
  </si>
  <si>
    <t>R2820</t>
  </si>
  <si>
    <t>Pack De 20 Cajas Organizadoras De Zapatos Apilables Blancas</t>
  </si>
  <si>
    <t>R2949</t>
  </si>
  <si>
    <t>Perchero Colgador Ropa 3 Repisas</t>
  </si>
  <si>
    <t>R2955</t>
  </si>
  <si>
    <t>Pack De 4 Sillas París Blancas</t>
  </si>
  <si>
    <t>R2956</t>
  </si>
  <si>
    <t>Pack De 4 Sillas París Negras</t>
  </si>
  <si>
    <t>R2957</t>
  </si>
  <si>
    <t>Pack De 4 Sillas Capitoné York Negra</t>
  </si>
  <si>
    <t>R3004</t>
  </si>
  <si>
    <t>Colgador De Ropa Metã¡Lico Doble Tendedero</t>
  </si>
  <si>
    <t>R3009</t>
  </si>
  <si>
    <t>Pack 10 Cajas Organizadora Zapatos Verde</t>
  </si>
  <si>
    <t>R3012</t>
  </si>
  <si>
    <t>Cooler Gris Con Mesa Plegable Y 2 Pisos Miglu 28 [L]</t>
  </si>
  <si>
    <t>R3021</t>
  </si>
  <si>
    <t>Pistola de masaje muscular R3021</t>
  </si>
  <si>
    <t>R3023</t>
  </si>
  <si>
    <t>Máquina Abdominales Six Pack</t>
  </si>
  <si>
    <t>R3082</t>
  </si>
  <si>
    <t>Trotadora Manual Rosada</t>
  </si>
  <si>
    <t>R3087</t>
  </si>
  <si>
    <t>Calientacamas 1 Plaza Digital</t>
  </si>
  <si>
    <t>R3089</t>
  </si>
  <si>
    <t>Calientacamas 2 Plazas Análogo Acqui</t>
  </si>
  <si>
    <t>R3097</t>
  </si>
  <si>
    <t>Set 20 Mascarilla 3 Pliegues Azul Bfe95-99</t>
  </si>
  <si>
    <t>R3203</t>
  </si>
  <si>
    <t>Mascarilla Kn95 10 Unidades</t>
  </si>
  <si>
    <t>R3204</t>
  </si>
  <si>
    <t>Pack De 50 Mascarilla Kn95</t>
  </si>
  <si>
    <t>R3205</t>
  </si>
  <si>
    <t>Pack de 100 Mascarilla KN95</t>
  </si>
  <si>
    <t>R3227</t>
  </si>
  <si>
    <t>Bañera De Bebé Plegable Grande Con Malla De Seguridad Celeste Glowup</t>
  </si>
  <si>
    <t>R3228</t>
  </si>
  <si>
    <t>Bañera De Bebé Plegable Grande Con Malla De Seguridad Rosada Glowup</t>
  </si>
  <si>
    <t>R3299</t>
  </si>
  <si>
    <t>Caja Organizadora Zapatos Azul</t>
  </si>
  <si>
    <t>R3302</t>
  </si>
  <si>
    <t>Caja Organizadora Zapatos Rosado</t>
  </si>
  <si>
    <t>R3303</t>
  </si>
  <si>
    <t>Caja Organizadora Zapatos Verde</t>
  </si>
  <si>
    <t>R3346</t>
  </si>
  <si>
    <t>Camilla Masaje 2 Cuerpos Negra De Aluminio Acqui Con Funda</t>
  </si>
  <si>
    <t>R3348</t>
  </si>
  <si>
    <t>Camilla Masaje 2 Cuerpos Azul De Aluminio Acqui Con Funda</t>
  </si>
  <si>
    <t>R3954</t>
  </si>
  <si>
    <t>Máquina selladora al vacÃ­o para alimentos B-fresh + 25 bolsas XL-L-M-S-XS</t>
  </si>
  <si>
    <t>R4035</t>
  </si>
  <si>
    <t>Mopa giratoria 360° b-fresh con tambor plástico azul</t>
  </si>
  <si>
    <t>R4084</t>
  </si>
  <si>
    <t>Ollas Para Piedras Calientes</t>
  </si>
  <si>
    <t>R4180</t>
  </si>
  <si>
    <t>Pack Camilla 2 cuerpos azul de aluminio + set de 36 piedras + olla</t>
  </si>
  <si>
    <t>R4209</t>
  </si>
  <si>
    <t>Pack 4 Sillas Berlín Blanca</t>
  </si>
  <si>
    <t>R4210</t>
  </si>
  <si>
    <t>Pack De 4 Sillas Berlín Negra</t>
  </si>
  <si>
    <t>R4239</t>
  </si>
  <si>
    <t>Pack Set 36 Piedras + Olla Piedras Calientes</t>
  </si>
  <si>
    <t>R4240</t>
  </si>
  <si>
    <t>Pack Set 45 Piedras + Olla Piedras Calientes</t>
  </si>
  <si>
    <t>R4241</t>
  </si>
  <si>
    <t>Pack Set 60 Piedras + Olla Piedras Calientes</t>
  </si>
  <si>
    <t>R4442</t>
  </si>
  <si>
    <t>Rollo para sabanillas de camillas de masajes</t>
  </si>
  <si>
    <t>R4484</t>
  </si>
  <si>
    <t>Set De 36 Piedras De Basalto Para Masajes</t>
  </si>
  <si>
    <t>R4485</t>
  </si>
  <si>
    <t>Set De 45  Piedras De Basalto Para Masajes</t>
  </si>
  <si>
    <t>R4492</t>
  </si>
  <si>
    <t>Set 60 Piedras Basalto Masajes</t>
  </si>
  <si>
    <t>R4548</t>
  </si>
  <si>
    <t>Silla Eames Berlín Roja</t>
  </si>
  <si>
    <t>R4550</t>
  </si>
  <si>
    <t>Silla Eames Berlín Blanca</t>
  </si>
  <si>
    <t>R4552</t>
  </si>
  <si>
    <t>Silla Eames Berlín Negra</t>
  </si>
  <si>
    <t>R4577</t>
  </si>
  <si>
    <t>Silla Eames Capitone York Blanca</t>
  </si>
  <si>
    <t>R4579</t>
  </si>
  <si>
    <t>Silla Eames Capitone York Negra</t>
  </si>
  <si>
    <t>R4584</t>
  </si>
  <si>
    <t>Silla Poltrona Eames Patchwork Dublin</t>
  </si>
  <si>
    <t>R4587</t>
  </si>
  <si>
    <t>Silla Poltrona Eames Patchwork Tokio</t>
  </si>
  <si>
    <t>R4661</t>
  </si>
  <si>
    <t>Tapones B-Fresh  5 Unidades</t>
  </si>
  <si>
    <t>R4663</t>
  </si>
  <si>
    <t>Tendedero Plegable 3 Niveles</t>
  </si>
  <si>
    <t>R4769</t>
  </si>
  <si>
    <t>Organizador Multifuncional 3 Niveles 360Âº</t>
  </si>
  <si>
    <t>R5247</t>
  </si>
  <si>
    <t>Pack de 2 paneles calefactores</t>
  </si>
  <si>
    <t>R5250</t>
  </si>
  <si>
    <t>Pack 2 bolsas grandes de supermercado</t>
  </si>
  <si>
    <t>R5305</t>
  </si>
  <si>
    <t>Pack De 4 Sillas Capitoné York Blanca</t>
  </si>
  <si>
    <t>R5405</t>
  </si>
  <si>
    <t>Pack 20 bolsas sellados al vacio talla M</t>
  </si>
  <si>
    <t>R5406</t>
  </si>
  <si>
    <t>Pack 20 bolsas sellados al vacio talla L</t>
  </si>
  <si>
    <t>R5407</t>
  </si>
  <si>
    <t>Pack 20 bolsas sellados al vacio talla S</t>
  </si>
  <si>
    <t>R5624</t>
  </si>
  <si>
    <t>Guillotina 25X30 A4</t>
  </si>
  <si>
    <t>R5625</t>
  </si>
  <si>
    <t>Guillotina 30X38</t>
  </si>
  <si>
    <t>R5627</t>
  </si>
  <si>
    <t>Máquina Anilladora Encuadernadora</t>
  </si>
  <si>
    <t>R5680</t>
  </si>
  <si>
    <t>Banca Plegable 182Cm Blanca</t>
  </si>
  <si>
    <t>R5923</t>
  </si>
  <si>
    <t>Máquina Cubre Zapatos</t>
  </si>
  <si>
    <t>R5941</t>
  </si>
  <si>
    <t>Bicicleta Spinning Strong Pro-Fit</t>
  </si>
  <si>
    <t>R5944</t>
  </si>
  <si>
    <t>Cortina Covid 80*160</t>
  </si>
  <si>
    <t>R5949</t>
  </si>
  <si>
    <t>Sillar Gamer Ergonómica Negra - Roja</t>
  </si>
  <si>
    <t>R5951</t>
  </si>
  <si>
    <t>Bandas De Resistencia Elasticas Para Yoga</t>
  </si>
  <si>
    <t>R5971</t>
  </si>
  <si>
    <t>Escoba Limpiadora De Pisos 360º</t>
  </si>
  <si>
    <t>R5996</t>
  </si>
  <si>
    <t>Trotadora Plegable K-Fit Bekele</t>
  </si>
  <si>
    <t>R5999</t>
  </si>
  <si>
    <t>Trotadora Con Accesorios</t>
  </si>
  <si>
    <t>R6010</t>
  </si>
  <si>
    <t>Zapatero 5 Niveles</t>
  </si>
  <si>
    <t>R6013</t>
  </si>
  <si>
    <t>Mancuerna Ajustable Dumbbell 24 Kg</t>
  </si>
  <si>
    <t>R6032</t>
  </si>
  <si>
    <t>Silla Gamer 360 Profesional Azul</t>
  </si>
  <si>
    <t>R6033</t>
  </si>
  <si>
    <t>Silla Gamer 360 Profesional Negra</t>
  </si>
  <si>
    <t>R6034</t>
  </si>
  <si>
    <t>Silla Gamer 360 Profesional Roja</t>
  </si>
  <si>
    <t>R6037</t>
  </si>
  <si>
    <t>Trotadora Eléctrica Plegable Makau 1.5Hp</t>
  </si>
  <si>
    <t>R6038</t>
  </si>
  <si>
    <t>Trotadora Eléctrica Plegable Linden 1.5Hp</t>
  </si>
  <si>
    <t>R6039</t>
  </si>
  <si>
    <t>Trotadora Eléctrica Plegable Norman 2Hp</t>
  </si>
  <si>
    <t>R6040</t>
  </si>
  <si>
    <t>Trotadora Eléctrica Plegable Roba 2Hp</t>
  </si>
  <si>
    <t>R6041</t>
  </si>
  <si>
    <t>Camilla De Masajes Negra</t>
  </si>
  <si>
    <t>R6042</t>
  </si>
  <si>
    <t>Camilla De Masajes Azul</t>
  </si>
  <si>
    <t>R6043</t>
  </si>
  <si>
    <t>Trotadora Eléctrica Plegable Baldini 1.5Hp</t>
  </si>
  <si>
    <t>R6044</t>
  </si>
  <si>
    <t>Trotadora Eléctrica Plegable Spirig 1.5Hp</t>
  </si>
  <si>
    <t>R6049</t>
  </si>
  <si>
    <t>Máquina Remadora Bogadora De Agua Plegable Murray</t>
  </si>
  <si>
    <t>R6083</t>
  </si>
  <si>
    <t>Mueble Multiuso Blanco</t>
  </si>
  <si>
    <t>R6084</t>
  </si>
  <si>
    <t>Mueble Multiuso Café 174X55X31</t>
  </si>
  <si>
    <t>R6085</t>
  </si>
  <si>
    <t>Mueble Bar 90x50cm 12 Botellas</t>
  </si>
  <si>
    <t>R6087</t>
  </si>
  <si>
    <t>Escritorio Madera 90cm Blanco</t>
  </si>
  <si>
    <t>R6088</t>
  </si>
  <si>
    <t>Escritorio Madera 90Cm Café</t>
  </si>
  <si>
    <t>R6089</t>
  </si>
  <si>
    <t>Escritorio 3 Cajones 120Cm Blanco</t>
  </si>
  <si>
    <t>R6090</t>
  </si>
  <si>
    <t>Escritorio 3 Cajones 120cm Café</t>
  </si>
  <si>
    <t>R6096</t>
  </si>
  <si>
    <t>Escritorio Black-Light K 100X50</t>
  </si>
  <si>
    <t>R6098</t>
  </si>
  <si>
    <t>Escritorio Black-Light K 120X60</t>
  </si>
  <si>
    <t>R6099</t>
  </si>
  <si>
    <t>Escritorio Bisman 100X50</t>
  </si>
  <si>
    <t>R6100</t>
  </si>
  <si>
    <t>Escritorio Bisman 120X60</t>
  </si>
  <si>
    <t>R6101</t>
  </si>
  <si>
    <t>Escritorio Keira Z 100X50</t>
  </si>
  <si>
    <t>R6102</t>
  </si>
  <si>
    <t>Escritorio Keira Z 120X60</t>
  </si>
  <si>
    <t>R6103</t>
  </si>
  <si>
    <t>Escritorio Skyblue Z 100X50</t>
  </si>
  <si>
    <t>R6104</t>
  </si>
  <si>
    <t>Escritorio Skyblue Z 120X60</t>
  </si>
  <si>
    <t>R6105</t>
  </si>
  <si>
    <t>Escritorio Muraky Z 100X50</t>
  </si>
  <si>
    <t>R6106</t>
  </si>
  <si>
    <t>Escritorio Muraky Z 120X60</t>
  </si>
  <si>
    <t>R6116</t>
  </si>
  <si>
    <t>Paddle Surf inflable de paseo Surfmass verde</t>
  </si>
  <si>
    <t>R6117</t>
  </si>
  <si>
    <t>Paddle Surf inflable de travesia Redliro Verde</t>
  </si>
  <si>
    <t>R6118</t>
  </si>
  <si>
    <t>Piscina Plegable Para Mascotas</t>
  </si>
  <si>
    <t>R6119</t>
  </si>
  <si>
    <t>Piscina Inflable Azul 305X183X50</t>
  </si>
  <si>
    <t>R6120</t>
  </si>
  <si>
    <t>Barra Multifuncional Para Puertas</t>
  </si>
  <si>
    <t>R6121</t>
  </si>
  <si>
    <t>Resbalin Inflable Para Piscinas</t>
  </si>
  <si>
    <t>R6122</t>
  </si>
  <si>
    <t>Aro de Basketball inflable</t>
  </si>
  <si>
    <t>R6143</t>
  </si>
  <si>
    <t>Silla Romana</t>
  </si>
  <si>
    <t>R6144</t>
  </si>
  <si>
    <t>Taburete Multifuncional De Ejercicios</t>
  </si>
  <si>
    <t>R6145</t>
  </si>
  <si>
    <t>R6146</t>
  </si>
  <si>
    <t>Set Mancuernas 30 Kg</t>
  </si>
  <si>
    <t>R6147</t>
  </si>
  <si>
    <t>Bicicleta Spinning 6Kg</t>
  </si>
  <si>
    <t>R6148</t>
  </si>
  <si>
    <t>Torre Multifuncional para ejercicios</t>
  </si>
  <si>
    <t>R6150</t>
  </si>
  <si>
    <t>Banca Multifuncional</t>
  </si>
  <si>
    <t>R6156</t>
  </si>
  <si>
    <t>Cama De Mascotas Portátil Para Viajes Gris 60X55X60</t>
  </si>
  <si>
    <t>R6161</t>
  </si>
  <si>
    <t>Cama De Mascotas Portátil Para Viajes Blanco 60X55X60</t>
  </si>
  <si>
    <t>R6162</t>
  </si>
  <si>
    <t>Led Panasonic 32"TC32JS500P HD Smart TV</t>
  </si>
  <si>
    <t>R6211</t>
  </si>
  <si>
    <t>Silla Windsor Negra</t>
  </si>
  <si>
    <t>R6213</t>
  </si>
  <si>
    <t>Silla Windsor Gris</t>
  </si>
  <si>
    <t>R6214</t>
  </si>
  <si>
    <t>Silla Windsor Verde</t>
  </si>
  <si>
    <t>R6215</t>
  </si>
  <si>
    <t>Pack De 4 Sillas Windsor Negra</t>
  </si>
  <si>
    <t>R6216</t>
  </si>
  <si>
    <t>Pack De 4 Sillas Windsor Blanca</t>
  </si>
  <si>
    <t>R6217</t>
  </si>
  <si>
    <t>Pack De 4 Sillas Windsor Gris</t>
  </si>
  <si>
    <t>R6218</t>
  </si>
  <si>
    <t>Pack De 4 Sillas Windsor Verde</t>
  </si>
  <si>
    <t>R6219</t>
  </si>
  <si>
    <t>Silla Eames Efecto Cuero</t>
  </si>
  <si>
    <t>R6220</t>
  </si>
  <si>
    <t>Pack De 4 Sillas Eames Efecto Cuero</t>
  </si>
  <si>
    <t>R6221</t>
  </si>
  <si>
    <t>Silla Concept Efecto Cuero Negra</t>
  </si>
  <si>
    <t>R6222</t>
  </si>
  <si>
    <t>Silla Concept Efecto Cuero Café</t>
  </si>
  <si>
    <t>R6223</t>
  </si>
  <si>
    <t>Pack De 4 Sillas Concept Efecto Cuero Negra</t>
  </si>
  <si>
    <t>R6224</t>
  </si>
  <si>
    <t>Pack De 4 Sillas Concept Efecto Cuero Café</t>
  </si>
  <si>
    <t>R6225</t>
  </si>
  <si>
    <t>Silla Wishbone Negra</t>
  </si>
  <si>
    <t>R6227</t>
  </si>
  <si>
    <t>Silla Wishbone Café</t>
  </si>
  <si>
    <t>R6229</t>
  </si>
  <si>
    <t>Pack 4 Sillas Wishbone Negra</t>
  </si>
  <si>
    <t>R6231</t>
  </si>
  <si>
    <t>Pack 4 Sillas Wishbone Café</t>
  </si>
  <si>
    <t>R6233</t>
  </si>
  <si>
    <t>Silla Crossback Negra</t>
  </si>
  <si>
    <t>R6235</t>
  </si>
  <si>
    <t>Silla Crossback Azul</t>
  </si>
  <si>
    <t>R6237</t>
  </si>
  <si>
    <t>Silla Crossback Gris</t>
  </si>
  <si>
    <t>R6239</t>
  </si>
  <si>
    <t>Pack 4 Sillas Crossback Negra</t>
  </si>
  <si>
    <t>R6241</t>
  </si>
  <si>
    <t>Pack 4 Sillas Crossback Azul</t>
  </si>
  <si>
    <t>R6243</t>
  </si>
  <si>
    <t>Pack 4 Sillas Crossback Gris</t>
  </si>
  <si>
    <t>R6245</t>
  </si>
  <si>
    <t>Silla Poltrona Cup</t>
  </si>
  <si>
    <t>R6246</t>
  </si>
  <si>
    <t>Silla Windsor Madrid Negra</t>
  </si>
  <si>
    <t>R6249</t>
  </si>
  <si>
    <t>Pack 4 Sillas Windsor Madrid Negra</t>
  </si>
  <si>
    <t>R6250</t>
  </si>
  <si>
    <t>Pack 4 Sillas Windsor Madrid Blanca</t>
  </si>
  <si>
    <t>R6271</t>
  </si>
  <si>
    <t>Casa Mascota 73x66x71 Lil House</t>
  </si>
  <si>
    <t>R6274</t>
  </si>
  <si>
    <t>Pack 200 Toallas De Entrenamiento Mascotas</t>
  </si>
  <si>
    <t>R6281</t>
  </si>
  <si>
    <t>Tarro Pelotas Paddle T828</t>
  </si>
  <si>
    <t>R6290</t>
  </si>
  <si>
    <t>Press Banca Multifuncional 200 Kg + Set Mancuernas 40 Kg</t>
  </si>
  <si>
    <t>R6293</t>
  </si>
  <si>
    <t>Neumático KT869 295/80R</t>
  </si>
  <si>
    <t>R6296</t>
  </si>
  <si>
    <t>Pack De 4 Sillas Vincenzi York Bicolor</t>
  </si>
  <si>
    <t>R6301</t>
  </si>
  <si>
    <t>Basureros De Reciclaje 60L</t>
  </si>
  <si>
    <t>R6339</t>
  </si>
  <si>
    <t>Instalación 3 Cortinas</t>
  </si>
  <si>
    <t>R6340</t>
  </si>
  <si>
    <t>Instalación 4 Cortinas</t>
  </si>
  <si>
    <t>R6341</t>
  </si>
  <si>
    <t>Instalación 5 Cortinas</t>
  </si>
  <si>
    <t>R6345</t>
  </si>
  <si>
    <t>Mesa Eames 120X80 Blanca</t>
  </si>
  <si>
    <t>R6346</t>
  </si>
  <si>
    <t>Mesa Eames 80X75 Negra</t>
  </si>
  <si>
    <t>R6347</t>
  </si>
  <si>
    <t>Mesa Eames 80X75 Blanca</t>
  </si>
  <si>
    <t>R6348</t>
  </si>
  <si>
    <t>Mesa Eames 80X72 Vidrio</t>
  </si>
  <si>
    <t>R6349</t>
  </si>
  <si>
    <t>Pack Bañera Celeste + Pellea Celeste</t>
  </si>
  <si>
    <t>R6350</t>
  </si>
  <si>
    <t>Pack Bañera Rosada + Pellea Rosada</t>
  </si>
  <si>
    <t>R6372</t>
  </si>
  <si>
    <t>Trotadora Eléctrica Plegable Makau 1.5HP + Total Core</t>
  </si>
  <si>
    <t>R6373</t>
  </si>
  <si>
    <t>Banco Multifuncional con Bandas Elásticas + Total Core</t>
  </si>
  <si>
    <t>R6374</t>
  </si>
  <si>
    <t>Trotadora Eléctrica Plegable Lemma 1.5Hp + Total Core</t>
  </si>
  <si>
    <t>R6375</t>
  </si>
  <si>
    <t>Bicicleta Spinning Strong Pro-Fit Blue + Total Core</t>
  </si>
  <si>
    <t>R6377</t>
  </si>
  <si>
    <t>Piscina 210X150X65Cm 850 Litros Calipso S/I</t>
  </si>
  <si>
    <t>R6392</t>
  </si>
  <si>
    <t>Velador 2 Cajones</t>
  </si>
  <si>
    <t>R6393</t>
  </si>
  <si>
    <t>Mueble Bar 10 Botellas</t>
  </si>
  <si>
    <t>R6394</t>
  </si>
  <si>
    <t>Isla Cocina 137x49x92cm Café</t>
  </si>
  <si>
    <t>R6395</t>
  </si>
  <si>
    <t>Mueble Cocina Multipropósito</t>
  </si>
  <si>
    <t>R6398</t>
  </si>
  <si>
    <t>Vitrina 1 puerta 4 niveles</t>
  </si>
  <si>
    <t>R6399</t>
  </si>
  <si>
    <t>Silla Gamer Iham Wonder Az</t>
  </si>
  <si>
    <t>R6400</t>
  </si>
  <si>
    <t>Pelota De Padel Unitaria K-Fit</t>
  </si>
  <si>
    <t>R6402</t>
  </si>
  <si>
    <t>Alisador de pelo GA.MA I CP9 Bvt</t>
  </si>
  <si>
    <t>R6403</t>
  </si>
  <si>
    <t>Alisador De Pelo Ga.Ma I Elegance Gold St Bvt</t>
  </si>
  <si>
    <t>R6404</t>
  </si>
  <si>
    <t>Alisador De Pelo Ga.Ma I Elegance Led Gold Bvt</t>
  </si>
  <si>
    <t>R6405</t>
  </si>
  <si>
    <t>Alisador de pelo GA.MA I X-Wide D 3D Titanio Bvt</t>
  </si>
  <si>
    <t>R6406</t>
  </si>
  <si>
    <t>Alisador de pelo GA.MA I CP14 Led Gold Bvt</t>
  </si>
  <si>
    <t>R6407</t>
  </si>
  <si>
    <t>Secador de pelo GA.MA H Eolic Mini Travel Ion</t>
  </si>
  <si>
    <t>R6408</t>
  </si>
  <si>
    <t>Secador de pelo GA.MA H Mistral St Bk 220</t>
  </si>
  <si>
    <t>R6409</t>
  </si>
  <si>
    <t>Secador De Pelo Ga.Ma H Mistral Tourmaline Ion 220</t>
  </si>
  <si>
    <t>R6410</t>
  </si>
  <si>
    <t>Secador De Pelo Ga.Ma H Diamond St Bk 220</t>
  </si>
  <si>
    <t>R6411</t>
  </si>
  <si>
    <t>Secador De Pelo Ga.Ma H Diamond St 220</t>
  </si>
  <si>
    <t>R6412</t>
  </si>
  <si>
    <t>Secador de pelo GA.MA H Diamond 3D Titan Keratin 220</t>
  </si>
  <si>
    <t>R6414</t>
  </si>
  <si>
    <t>Secador De Pelo Ga.Ma H Bora Gold St 220</t>
  </si>
  <si>
    <t>R6415</t>
  </si>
  <si>
    <t>Secador de pelo GA.MA H Bora Keration 3D 220</t>
  </si>
  <si>
    <t>R6416</t>
  </si>
  <si>
    <t>Secador De Pelo Ga.Ma H Tempo Compact Aqua Therapy St 220</t>
  </si>
  <si>
    <t>R6417</t>
  </si>
  <si>
    <t>Secador De Pelo Ga.Ma H Diva 4D Kera-Shine 220</t>
  </si>
  <si>
    <t>R6419</t>
  </si>
  <si>
    <t>Cepillo De Pelo Ga.Ma H Mod Glamour Pink Brush 3D 1300W 110/220</t>
  </si>
  <si>
    <t>R6420</t>
  </si>
  <si>
    <t>Corta Pelo GA.MA M GNT 512 Bat</t>
  </si>
  <si>
    <t>R6421</t>
  </si>
  <si>
    <t>Corta Pelo GA.MA M C B 6x1 Bat</t>
  </si>
  <si>
    <t>R6422</t>
  </si>
  <si>
    <t>Corta Pelo GA.MA M GM 562 13 220</t>
  </si>
  <si>
    <t>R6423</t>
  </si>
  <si>
    <t>Corta Pelo GA.MA M GM 566 13 220</t>
  </si>
  <si>
    <t>R6424</t>
  </si>
  <si>
    <t>Corta Pelo GA.MA M GC 625 Bvt</t>
  </si>
  <si>
    <t>R6425</t>
  </si>
  <si>
    <t>Corta Pelo GA.MA M GC 615 Bvt</t>
  </si>
  <si>
    <t>R6426</t>
  </si>
  <si>
    <t>Depiladora Ga.Ma E Skinpro Go Bvt</t>
  </si>
  <si>
    <t>R6427</t>
  </si>
  <si>
    <t>Depiladora GA.MA E Essential Bvt</t>
  </si>
  <si>
    <t>R6428</t>
  </si>
  <si>
    <t>Depiladora Ga.Ma E Oasis Look Bvt Usb</t>
  </si>
  <si>
    <t>R6429</t>
  </si>
  <si>
    <t>Depiladora GA.MA E Oasis Next Bvt USB</t>
  </si>
  <si>
    <t>R6430</t>
  </si>
  <si>
    <t>Depiladora Ga.Ma E Oasis Gold Bat</t>
  </si>
  <si>
    <t>R6431</t>
  </si>
  <si>
    <t>Balanzas GA.MA Sc Fit Care Bat</t>
  </si>
  <si>
    <t>R6432</t>
  </si>
  <si>
    <t>Balanzas GA.MA Sc V Negra Bat</t>
  </si>
  <si>
    <t>R6433</t>
  </si>
  <si>
    <t>Pack Ga.Ma Pk Elegance+Bora+Innova Mini Avocado 220</t>
  </si>
  <si>
    <t>R6434</t>
  </si>
  <si>
    <t>Candle Mystery Box gris (3 velas )</t>
  </si>
  <si>
    <t>R6437</t>
  </si>
  <si>
    <t>Estufa de Patio Baja a Gas Terrazas / Interior Exterior 11Kg</t>
  </si>
  <si>
    <t>R6452</t>
  </si>
  <si>
    <t>Pack 3 Tarros Pelotas Padel K-Fit Pro</t>
  </si>
  <si>
    <t>R6454</t>
  </si>
  <si>
    <t>Pack 6 Tarros Pelotas Padel K-Fit Pro</t>
  </si>
  <si>
    <t>R6474</t>
  </si>
  <si>
    <t>Trotadora Plegable Bekele</t>
  </si>
  <si>
    <t>R6475</t>
  </si>
  <si>
    <t>Trotadora Plegable 6 en 1 Mutai</t>
  </si>
  <si>
    <t>R6476</t>
  </si>
  <si>
    <t>Trotadora Plegable 4 En 1 Bowden</t>
  </si>
  <si>
    <t>R6477</t>
  </si>
  <si>
    <t>R6479</t>
  </si>
  <si>
    <t>Trotadora Eléctrica Plegable Makau 1.5HP K-FIT</t>
  </si>
  <si>
    <t>R6482</t>
  </si>
  <si>
    <t>Banca de abdominales maquina de ejercicios multifuncional</t>
  </si>
  <si>
    <t>R6485</t>
  </si>
  <si>
    <t>R6487</t>
  </si>
  <si>
    <t>Go Kart a pedales Glowup Laren Racing</t>
  </si>
  <si>
    <t>R6488</t>
  </si>
  <si>
    <t>R6490</t>
  </si>
  <si>
    <t>Máquina Remadora De Agua Valent</t>
  </si>
  <si>
    <t>R6491</t>
  </si>
  <si>
    <t>Bañera Bebé Plegable + Malla Seguridad Celeste Glowup</t>
  </si>
  <si>
    <t>R6492</t>
  </si>
  <si>
    <t>Bañera Bebé Plegable + Malla Seguridad Rosada Glowup</t>
  </si>
  <si>
    <t>R6493</t>
  </si>
  <si>
    <t>R6494</t>
  </si>
  <si>
    <t>Banca Plegable 182cm Blanca</t>
  </si>
  <si>
    <t>R6495</t>
  </si>
  <si>
    <t>R6496</t>
  </si>
  <si>
    <t>R6497</t>
  </si>
  <si>
    <t>GYM Multifuncional K-FIT</t>
  </si>
  <si>
    <t>R6498</t>
  </si>
  <si>
    <t>Trotadora Plegable 4 en 1 Bowden</t>
  </si>
  <si>
    <t>R6499</t>
  </si>
  <si>
    <t>R6500</t>
  </si>
  <si>
    <t>CAMILLA DE MASAJES NEGRA</t>
  </si>
  <si>
    <t>R6501</t>
  </si>
  <si>
    <t>Trotadora Eléctrica Plegable Baldini 1.5 HP K-FIT</t>
  </si>
  <si>
    <t>R6502</t>
  </si>
  <si>
    <t>Escritorio Bisman K 120x60</t>
  </si>
  <si>
    <t>R6503</t>
  </si>
  <si>
    <t>Escritorio SkyBlue Z 120x60</t>
  </si>
  <si>
    <t>R6505</t>
  </si>
  <si>
    <t>R6506</t>
  </si>
  <si>
    <t>Silla Windsor Negra Vincenzi</t>
  </si>
  <si>
    <t>R6507</t>
  </si>
  <si>
    <t>Silla Windsor Gris Vincenzi</t>
  </si>
  <si>
    <t>R6508</t>
  </si>
  <si>
    <t>Silla Windsor Verde Vincenzi</t>
  </si>
  <si>
    <t>R6510</t>
  </si>
  <si>
    <t>Trotadora Plegable Bekele K-FIT</t>
  </si>
  <si>
    <t>R6511</t>
  </si>
  <si>
    <t>Bicicleta Spinning Strong PRO-FIT Blue K-FIT</t>
  </si>
  <si>
    <t>R6512</t>
  </si>
  <si>
    <t>Pesa Rusa Kettlebell 4kg K-FIT</t>
  </si>
  <si>
    <t>R6513</t>
  </si>
  <si>
    <t>Pesa Rusa Kettlebell 6kg K-FIT</t>
  </si>
  <si>
    <t>R6514</t>
  </si>
  <si>
    <t>Pesa Rusa Kettlebell 8kg K-FIT</t>
  </si>
  <si>
    <t>R6515</t>
  </si>
  <si>
    <t>Pesa Rusa Kettlebell 10kg K-FIT</t>
  </si>
  <si>
    <t>R6516</t>
  </si>
  <si>
    <t>Pesa Rusa Kettlebell 14Kg K-Fit</t>
  </si>
  <si>
    <t>R6517</t>
  </si>
  <si>
    <t>Dispensador Agua Mascotas 2L Azul Petwoow</t>
  </si>
  <si>
    <t>R6518</t>
  </si>
  <si>
    <t>Lanzador Alimento Mascotas con Cámara y Audio Petwoow</t>
  </si>
  <si>
    <t>R6519</t>
  </si>
  <si>
    <t>R6525</t>
  </si>
  <si>
    <t>Guillotina 25x30 A4</t>
  </si>
  <si>
    <t>R6526</t>
  </si>
  <si>
    <t>R6527</t>
  </si>
  <si>
    <t>Resbalin Inflable para piscinas Rebajas</t>
  </si>
  <si>
    <t>R6528</t>
  </si>
  <si>
    <t>R6529</t>
  </si>
  <si>
    <t>Caja Organizadora Zapatos azul</t>
  </si>
  <si>
    <t>R6530</t>
  </si>
  <si>
    <t>Trotadora manual azul</t>
  </si>
  <si>
    <t>R6558</t>
  </si>
  <si>
    <t>Reformer Pilates</t>
  </si>
  <si>
    <t>R6580</t>
  </si>
  <si>
    <t>Pala Padel K-Alpha Hybrid 3</t>
  </si>
  <si>
    <t>R6581</t>
  </si>
  <si>
    <t>Pala Padel K-Alpha Hybrid 4</t>
  </si>
  <si>
    <t>R6596</t>
  </si>
  <si>
    <t>Jockey K-FIT Negro</t>
  </si>
  <si>
    <t>R6605</t>
  </si>
  <si>
    <t>Techo Cancha De Padel</t>
  </si>
  <si>
    <t>R6606</t>
  </si>
  <si>
    <t>Pallet Standard De 100 X 120 Cmt</t>
  </si>
  <si>
    <t>R6609</t>
  </si>
  <si>
    <t>Comedor Mesa Redonda Blanca + 4 Sillas Berlín Blancas</t>
  </si>
  <si>
    <t>R6610</t>
  </si>
  <si>
    <t>Comedor Mesa Redonda Vidrio + 4 Sillas Berlín Blancas</t>
  </si>
  <si>
    <t>R6611</t>
  </si>
  <si>
    <t>Comedor Mesa Redonda Negra + 4 Sillas Berlín Negras</t>
  </si>
  <si>
    <t>R6617</t>
  </si>
  <si>
    <t>Silla Windsor Vintage Oliva</t>
  </si>
  <si>
    <t>R6618</t>
  </si>
  <si>
    <t>Pack Reja Seguridad Para Bebés Y Pelela Baby Potty Rosado</t>
  </si>
  <si>
    <t>R6620</t>
  </si>
  <si>
    <t>Pack Piscina Estructural 1287 Litros 228X159X42 Cm Y Bomba De Filtro 3.000L Glowup</t>
  </si>
  <si>
    <t>R6621</t>
  </si>
  <si>
    <t>Pack Piscina Estructural 2612 Litros 260X160X65 Cm Y Bomba De Filtro 3.000L</t>
  </si>
  <si>
    <t>R6622</t>
  </si>
  <si>
    <t>Pack Gimnasio Para Bebes Con Piano Y Pelela Baby Potty Rosado</t>
  </si>
  <si>
    <t>R6623</t>
  </si>
  <si>
    <t>Pack Gimnasio Para Bebes Con Piano Y Pelela Baby Potty Celeste</t>
  </si>
  <si>
    <t>R6624</t>
  </si>
  <si>
    <t>Pack Piscina 210X150X65Cm 850 Litros Y Water Play Alfombra Rociadora</t>
  </si>
  <si>
    <t>R6625</t>
  </si>
  <si>
    <t>Pack Piscina 150X105X50Cm 350 Litros Y Water Play Alfombra Rociadora</t>
  </si>
  <si>
    <t>R6626</t>
  </si>
  <si>
    <t>Pack Water Play Alfombra Rociadora Y Escalador Infantil Glowup</t>
  </si>
  <si>
    <t>R6627</t>
  </si>
  <si>
    <t>Pack Piscina 210X150X65Cm 850 Litros Y Escalador Infantil</t>
  </si>
  <si>
    <t>R6628</t>
  </si>
  <si>
    <t>Pack Piscina 150X105X50Cm 350 Litros Y Escalador Infantil</t>
  </si>
  <si>
    <t>R6629</t>
  </si>
  <si>
    <t>Pack Piscina Estructural 2612 Litros 260X160X65 Cm Y Ionizador Solar Piscina</t>
  </si>
  <si>
    <t>R6630</t>
  </si>
  <si>
    <t>Pack Piscina 150X105X50Cm 350 Litros Y Flotador De Espalda</t>
  </si>
  <si>
    <t>R6631</t>
  </si>
  <si>
    <t>Pack Piscina 210X150X65Cm 850 Litros Y Flotador De Espalda</t>
  </si>
  <si>
    <t>R6632</t>
  </si>
  <si>
    <t>Arenero Gatos Cerrado Gris  52X41X40.5 Y Dispensador Agua Mascotas 2L Verde</t>
  </si>
  <si>
    <t>R6633</t>
  </si>
  <si>
    <t>Arenero Gatos Cerrado Gris  52X41X40.5 Y Dispensador Agua Mascotas 2L Rosado</t>
  </si>
  <si>
    <t>R6641</t>
  </si>
  <si>
    <t>Rascador De Gatos 135X55X36 + Arenero Gatos Cuadrado 48X36X38</t>
  </si>
  <si>
    <t>R6650</t>
  </si>
  <si>
    <t>Cocinilla Portátil A Gas Miglú + Set De Camping Miglú 12 Piezas</t>
  </si>
  <si>
    <t>R6651</t>
  </si>
  <si>
    <t>Cocinilla Portátil A Gas Miglú + Set De Camping Miglú 16 Piezas</t>
  </si>
  <si>
    <t>R6658</t>
  </si>
  <si>
    <t>Hamaca Miglú Azul + Silla Plegable De Camping Azul</t>
  </si>
  <si>
    <t>R6786</t>
  </si>
  <si>
    <t>Maleta Profesional Portátil De Maquillaje 27x20 Cm Negra</t>
  </si>
  <si>
    <t>R6815</t>
  </si>
  <si>
    <t>Pack 45 Tarros Pelotas Padel K-FIT</t>
  </si>
  <si>
    <t>R6818</t>
  </si>
  <si>
    <t>Pala Padel Carbon Fiera + Bolso De Pádel Elda Rosado</t>
  </si>
  <si>
    <t>R6875</t>
  </si>
  <si>
    <t>Pérgola Bioclimática Vincenzi Manual 3X3 Arcadia Blanco</t>
  </si>
  <si>
    <t>R6876</t>
  </si>
  <si>
    <t>Pérgola Bioclimática Vincenzi Manual 3X4 Arcadia  Blanco</t>
  </si>
  <si>
    <t>R6877</t>
  </si>
  <si>
    <t>Casa Mascota Sky</t>
  </si>
  <si>
    <t>R6879</t>
  </si>
  <si>
    <t>4 Sillas Eames París Blanca</t>
  </si>
  <si>
    <t>R6880</t>
  </si>
  <si>
    <t>4 Sillas Eames París Negra</t>
  </si>
  <si>
    <t>R6889</t>
  </si>
  <si>
    <t>4 Sillas Windsor negras</t>
  </si>
  <si>
    <t>R6890</t>
  </si>
  <si>
    <t>4 Sillas Wishbone café</t>
  </si>
  <si>
    <t>R6891</t>
  </si>
  <si>
    <t>4 Sillas Windsor blancas</t>
  </si>
  <si>
    <t>R6910</t>
  </si>
  <si>
    <t>2 Sillas Poltronas Delhi</t>
  </si>
  <si>
    <t>R6911</t>
  </si>
  <si>
    <t>2 Sillas Poltronas Tokio</t>
  </si>
  <si>
    <t>R6946</t>
  </si>
  <si>
    <t>Pack 4 Sillas Comedor Eames Leather Café Vincenzi</t>
  </si>
  <si>
    <t>R6949</t>
  </si>
  <si>
    <t>2 Sillas Butterfly negras</t>
  </si>
  <si>
    <t>R6950</t>
  </si>
  <si>
    <t>4 Sillas York negras</t>
  </si>
  <si>
    <t>R6951</t>
  </si>
  <si>
    <t>4 Sillas York blancas</t>
  </si>
  <si>
    <t>R6952</t>
  </si>
  <si>
    <t>Sealling Machine</t>
  </si>
  <si>
    <t>R6953</t>
  </si>
  <si>
    <t>Slotting Machine</t>
  </si>
  <si>
    <t>R6955</t>
  </si>
  <si>
    <t>4 Sillas Eames Berlín negras</t>
  </si>
  <si>
    <t>R6987</t>
  </si>
  <si>
    <t>Coche Bebé 3 En 1 Baby Way Negro Plegable Con Silla De Auto</t>
  </si>
  <si>
    <t>R6988</t>
  </si>
  <si>
    <t>Urinal Infantil Baby Way Azul Ajustable Con Ventosas</t>
  </si>
  <si>
    <t>R6989</t>
  </si>
  <si>
    <t>Asiento Baño Bebé Baby Way Antideslizante Seguro</t>
  </si>
  <si>
    <t>R6990</t>
  </si>
  <si>
    <t>Silla De Comer Baby Way Plegable Segura Fácil Limpieza</t>
  </si>
  <si>
    <t>R6992</t>
  </si>
  <si>
    <t>Butaca Auto Baby Way Reclinable 5 Puntas Cómoda Y Segura</t>
  </si>
  <si>
    <t>R6993</t>
  </si>
  <si>
    <t>Cuna De Bebe Marca Baby Way BW-611a12 color BLUE</t>
  </si>
  <si>
    <t>R6994</t>
  </si>
  <si>
    <t>Silla De Auto BBC-309 color rojo</t>
  </si>
  <si>
    <t>R6997</t>
  </si>
  <si>
    <t>Silla Comer Bebé Baby Way Bw-800g19  Plegable Lavable</t>
  </si>
  <si>
    <t>R6998</t>
  </si>
  <si>
    <t>Coche Bebé Travel System Baby Way 3 En 1 Aluminio Plegable</t>
  </si>
  <si>
    <t>R7010</t>
  </si>
  <si>
    <t>Botín Caña Baja Niño Talla 25</t>
  </si>
  <si>
    <t>R7011</t>
  </si>
  <si>
    <t>Bota Rosada Niña Aplicación Piel Talla 25</t>
  </si>
  <si>
    <t>R7012</t>
  </si>
  <si>
    <t>Botín Niño Caña Baja Cómodo Y Resistente Para Uso Diario</t>
  </si>
  <si>
    <t>R7014</t>
  </si>
  <si>
    <t>Botín Navy Para Niña En Talla 25</t>
  </si>
  <si>
    <t>R7015</t>
  </si>
  <si>
    <t>Botín Urbano Niña Navy Bordado Rosa Cómodo Uso Diario</t>
  </si>
  <si>
    <t>R7017</t>
  </si>
  <si>
    <t>Botín Chelsea Rosado Para Niña Talla 25</t>
  </si>
  <si>
    <t>R7018</t>
  </si>
  <si>
    <t>Botín Casual Para Niño Color Amarillo Talla 25</t>
  </si>
  <si>
    <t>R7020</t>
  </si>
  <si>
    <t>Botín Urbano Para Niña Color Rosado, Talla 25</t>
  </si>
  <si>
    <t>R7021</t>
  </si>
  <si>
    <t>Botín Urbano Niña Color Negro Con Estrellas Talla 21</t>
  </si>
  <si>
    <t>R9998</t>
  </si>
  <si>
    <t>Articulo Outlet</t>
  </si>
  <si>
    <t>R1001</t>
  </si>
  <si>
    <t>Mesa Plegable Tipo Maleta Blanca</t>
  </si>
  <si>
    <t>Vincenzi</t>
  </si>
  <si>
    <t>Jardín y Terraza</t>
  </si>
  <si>
    <t>R1017</t>
  </si>
  <si>
    <t>Toldo con brazo retractil Terrazas 3x2.5 Mts Beige</t>
  </si>
  <si>
    <t>R1704</t>
  </si>
  <si>
    <t>Cortina Roller Duo Lino Gris Pepper 120x120cm</t>
  </si>
  <si>
    <t>Decoración</t>
  </si>
  <si>
    <t>R1705</t>
  </si>
  <si>
    <t>Cortina Roller Duo Lino Blanco Grain 120x120cm</t>
  </si>
  <si>
    <t>R1706</t>
  </si>
  <si>
    <t>Cortina Roller Duo Lino Blanco Oats 120x120cm</t>
  </si>
  <si>
    <t>R1707</t>
  </si>
  <si>
    <t>Cortina Roller Duo Lino Beige Sand 120x120cm</t>
  </si>
  <si>
    <t>R1708</t>
  </si>
  <si>
    <t>Cortina Roller Duo Lino Gris Pepper 120x240cm</t>
  </si>
  <si>
    <t>R1709</t>
  </si>
  <si>
    <t>Cortina Roller Duo Lino Blanco Grain 120x240cm</t>
  </si>
  <si>
    <t>R1710</t>
  </si>
  <si>
    <t>Cortina Roller Duo Lino Blanco Oats 120x240cm</t>
  </si>
  <si>
    <t>R1711</t>
  </si>
  <si>
    <t>Cortina Roller Duo Lino Beige Sand 120x240cm</t>
  </si>
  <si>
    <t>R1712</t>
  </si>
  <si>
    <t>Cortina Roller Duo Lino Gris Pepper 140x240cm</t>
  </si>
  <si>
    <t>R1713</t>
  </si>
  <si>
    <t>Cortina Roller Duo Lino Blanco Grain 140x240cm</t>
  </si>
  <si>
    <t>R1714</t>
  </si>
  <si>
    <t>Cortina Roller Duo Lino Blanco Oats 140x240cm</t>
  </si>
  <si>
    <t>R1715</t>
  </si>
  <si>
    <t>Cortina Roller Duo Lino Beige Sand 140x240cm</t>
  </si>
  <si>
    <t>R1716</t>
  </si>
  <si>
    <t>Cortina Roller Duo Blanco 150x240cm</t>
  </si>
  <si>
    <t>R1717</t>
  </si>
  <si>
    <t>Cortina Roller Duo Lino Gris Pepper 150x240cm</t>
  </si>
  <si>
    <t>R1718</t>
  </si>
  <si>
    <t>Cortina Roller Duo Lino Blanco Grain 150x240cm</t>
  </si>
  <si>
    <t>R1719</t>
  </si>
  <si>
    <t>Cortina Roller Duo Lino Blanco Oats 150x240cm</t>
  </si>
  <si>
    <t>R1720</t>
  </si>
  <si>
    <t>Cortina Roller Duo Lino Beige Sand 150x240cm</t>
  </si>
  <si>
    <t>R1721</t>
  </si>
  <si>
    <t>Cortina Roller Duo Lino Gris Pepper 160x240cm</t>
  </si>
  <si>
    <t>R1722</t>
  </si>
  <si>
    <t>Cortina Roller Duo Lino Blanco Grain 160x240cm</t>
  </si>
  <si>
    <t>R1723</t>
  </si>
  <si>
    <t>Cortina Roller Duo Lino Blanco Oats 160x240cm</t>
  </si>
  <si>
    <t>R1724</t>
  </si>
  <si>
    <t>Cortina Roller Duo Lino Beige Sand 160x240cm</t>
  </si>
  <si>
    <t>R1725</t>
  </si>
  <si>
    <t>Cortina Roller Duo Gris Pepper 180x240cm</t>
  </si>
  <si>
    <t>R1726</t>
  </si>
  <si>
    <t>Cortina Roller Duo Lino Blanco Grain 180x240cm</t>
  </si>
  <si>
    <t>R1727</t>
  </si>
  <si>
    <t>Cortina Roller Duo Lino Blanco Oats 180x240cm</t>
  </si>
  <si>
    <t>R1728</t>
  </si>
  <si>
    <t>Cortina Roller Duo Lino Beige Sand 180x240cm</t>
  </si>
  <si>
    <t>R1729</t>
  </si>
  <si>
    <t>Cortina Roller Duo Gris Pepper 200x240cm</t>
  </si>
  <si>
    <t>R1730</t>
  </si>
  <si>
    <t>Cortina Roller Duo Lino Blanco Grain 200x240cm</t>
  </si>
  <si>
    <t>R1731</t>
  </si>
  <si>
    <t>Cortina Roller Duo Lino Blanco Oats 200x240cm</t>
  </si>
  <si>
    <t>R1732</t>
  </si>
  <si>
    <t>Cortina Roller Duo Lino Beige Sand 200x240cm</t>
  </si>
  <si>
    <t>R1733</t>
  </si>
  <si>
    <t>Cortina Roller Duo Gris Pepper 220x240cm</t>
  </si>
  <si>
    <t>R1734</t>
  </si>
  <si>
    <t>Cortina Roller Duo Lino Blanco Grain 220x240cm</t>
  </si>
  <si>
    <t>R1735</t>
  </si>
  <si>
    <t>Cortina Roller Duo Lino Blanco Oats 220x240cm</t>
  </si>
  <si>
    <t>R1736</t>
  </si>
  <si>
    <t>Cortina Roller Duo Lino Beige Sand 220x240cm</t>
  </si>
  <si>
    <t>R1737</t>
  </si>
  <si>
    <t>Cortina Roller Duo Lino Blanco Oats 240x240cm</t>
  </si>
  <si>
    <t>R1738</t>
  </si>
  <si>
    <t>Cortina Roller Duo Lino Beige Sand 240x240cm</t>
  </si>
  <si>
    <t>R2848</t>
  </si>
  <si>
    <t>Cortina Honeycomb Termo-acústicas Blanca 160x160cm</t>
  </si>
  <si>
    <t>R2849</t>
  </si>
  <si>
    <t>Cortina Honeycomb Termo-acústicas Gris 160x160cm</t>
  </si>
  <si>
    <t>R2850</t>
  </si>
  <si>
    <t>Cortina Honeycomb Termo-acústicas Gris 160x240cm</t>
  </si>
  <si>
    <t>R2851</t>
  </si>
  <si>
    <t>Cortina Honeycomb Termo-acústicas Blanca 160x240cm</t>
  </si>
  <si>
    <t>R2852</t>
  </si>
  <si>
    <t>Cortina Honeycomb Termo-acústicas Blanca 180x240cm</t>
  </si>
  <si>
    <t>R2853</t>
  </si>
  <si>
    <t>Cortina Honeycomb Termo-acústicas Gris 180x240cm</t>
  </si>
  <si>
    <t>R2854</t>
  </si>
  <si>
    <t>Cortina Roller Garden  Beige 150x250cm</t>
  </si>
  <si>
    <t>R2855</t>
  </si>
  <si>
    <t>Cortina Roller Garden  Beige 200x250cm</t>
  </si>
  <si>
    <t>R2856</t>
  </si>
  <si>
    <t>Cortina Roller Garden  Beige 100x250cm</t>
  </si>
  <si>
    <t>R3095</t>
  </si>
  <si>
    <t>Cortina Roller Garden Blanca 150x250cm</t>
  </si>
  <si>
    <t>R3096</t>
  </si>
  <si>
    <t>Cortina Roller Garden Blanca 200x250cm</t>
  </si>
  <si>
    <t>R3495</t>
  </si>
  <si>
    <t>Cortina Roller Duo Gris 150x240cm</t>
  </si>
  <si>
    <t>R3523</t>
  </si>
  <si>
    <t>Cortina Roller Duo Beige 120x120cm</t>
  </si>
  <si>
    <t>R3524</t>
  </si>
  <si>
    <t>Cortina Roller Duo Blanco 120x120cm</t>
  </si>
  <si>
    <t>R3525</t>
  </si>
  <si>
    <t>Cortina Roller Duo Gris 120x120cm</t>
  </si>
  <si>
    <t>R3526</t>
  </si>
  <si>
    <t>Cortina Roller Duo Beige 120x240cm</t>
  </si>
  <si>
    <t>R3528</t>
  </si>
  <si>
    <t>Cortina Roller Duo Gris 200x240cm</t>
  </si>
  <si>
    <t>R3530</t>
  </si>
  <si>
    <t>Cortina Roller Duo Blanco 160x240cm</t>
  </si>
  <si>
    <t>R3531</t>
  </si>
  <si>
    <t>Cortina Roller Duo Gris 160x240cm</t>
  </si>
  <si>
    <t>R3532</t>
  </si>
  <si>
    <t>Cortina Roller Duo Beige 160x240cm</t>
  </si>
  <si>
    <t>R3533</t>
  </si>
  <si>
    <t>Cortina Roller Duo Gris 180x240cm</t>
  </si>
  <si>
    <t>R3534</t>
  </si>
  <si>
    <t>Cortina Roller Duo Blanco 180x240cm</t>
  </si>
  <si>
    <t>R3535</t>
  </si>
  <si>
    <t>Cortina Roller Duo Beige 140x240cm</t>
  </si>
  <si>
    <t>R3536</t>
  </si>
  <si>
    <t>Cortina Roller Duo Blanco 140x240cm</t>
  </si>
  <si>
    <t>R3538</t>
  </si>
  <si>
    <t>Cortina Roller Duo Blanco 240x240cm</t>
  </si>
  <si>
    <t>R3539</t>
  </si>
  <si>
    <t>Cortina Roller Duo Blanco 120x240cm</t>
  </si>
  <si>
    <t>R3540</t>
  </si>
  <si>
    <t>Cortina Roller Duo Gris 120x240cm</t>
  </si>
  <si>
    <t>R3543</t>
  </si>
  <si>
    <t>Cortina Roller Duo Gris 140x240cm</t>
  </si>
  <si>
    <t>R3544</t>
  </si>
  <si>
    <t>Cortina Roller Duo Beige 160x160cm</t>
  </si>
  <si>
    <t>R3545</t>
  </si>
  <si>
    <t>Cortina Roller Duo Blanco 160x160cm</t>
  </si>
  <si>
    <t>R3546</t>
  </si>
  <si>
    <t>Cortina Roller Duo Gris 160x160cm</t>
  </si>
  <si>
    <t>R3547</t>
  </si>
  <si>
    <t>Cortina Roller Duo Gris 120x160cm</t>
  </si>
  <si>
    <t>R3548</t>
  </si>
  <si>
    <t>Cortina Roller Duo beige 180x240cm</t>
  </si>
  <si>
    <t>R5609</t>
  </si>
  <si>
    <t>Cortina Roller Duo Blanco 200x240cm</t>
  </si>
  <si>
    <t>R5610</t>
  </si>
  <si>
    <t>Cortina Roller Duo Blanco 220x240cm</t>
  </si>
  <si>
    <t>R5611</t>
  </si>
  <si>
    <t>Cortina Roller Duo Beige 200x240cm</t>
  </si>
  <si>
    <t>R5612</t>
  </si>
  <si>
    <t>Cortina Roller Duo Beige 150x240cm</t>
  </si>
  <si>
    <t>R5614</t>
  </si>
  <si>
    <t>Cortina Roller Duo Blanco 120x160cm</t>
  </si>
  <si>
    <t>R5752</t>
  </si>
  <si>
    <t>Cortina Blackout Blanca 120x230cm</t>
  </si>
  <si>
    <t>R5753</t>
  </si>
  <si>
    <t>Cortina Blackout Gris 120x230cm</t>
  </si>
  <si>
    <t>R5754</t>
  </si>
  <si>
    <t>Cortina Blackout Blanca 140x230cm</t>
  </si>
  <si>
    <t>R5755</t>
  </si>
  <si>
    <t>Cortina Blackout Gris 140x230cm</t>
  </si>
  <si>
    <t>R5756</t>
  </si>
  <si>
    <t>Cortina Blackout Blanca 150x230cm</t>
  </si>
  <si>
    <t>R5757</t>
  </si>
  <si>
    <t>Cortina Blackout Gris 150x230cm</t>
  </si>
  <si>
    <t>R5758</t>
  </si>
  <si>
    <t>Cortina Blackout Blanca 160x230cm</t>
  </si>
  <si>
    <t>R5759</t>
  </si>
  <si>
    <t>Cortina Blackout Gris 160x230cm</t>
  </si>
  <si>
    <t>R5760</t>
  </si>
  <si>
    <t>Cortina Blackout Blanca 180x230cm</t>
  </si>
  <si>
    <t>R5761</t>
  </si>
  <si>
    <t>Cortina Blackout Gris 180x230cm</t>
  </si>
  <si>
    <t>R5762</t>
  </si>
  <si>
    <t>Cortina Blackout Blanca 200x230cm</t>
  </si>
  <si>
    <t>R5763</t>
  </si>
  <si>
    <t>Cortina Blackout Gris 200x230cm</t>
  </si>
  <si>
    <t>R5764</t>
  </si>
  <si>
    <t>Cortina Blackout Blanca 220x230cm</t>
  </si>
  <si>
    <t>R5765</t>
  </si>
  <si>
    <t>Cortina Blackout Gris 220x230cm</t>
  </si>
  <si>
    <t>R5766</t>
  </si>
  <si>
    <t>Cortina Blackout Blanca 240x230cm</t>
  </si>
  <si>
    <t>R5767</t>
  </si>
  <si>
    <t>Cortina Blackout Gris 240x230cm</t>
  </si>
  <si>
    <t>R5769</t>
  </si>
  <si>
    <t>Cortina Roller Duo Beigeo 220x240cm</t>
  </si>
  <si>
    <t>R5770</t>
  </si>
  <si>
    <t>Cortina Roller Duo Gris 240x240cm</t>
  </si>
  <si>
    <t>R5771</t>
  </si>
  <si>
    <t>Cortina Roller Duo Beige 240x240cm</t>
  </si>
  <si>
    <t>R5777</t>
  </si>
  <si>
    <t>Cortina Roller Duo Beige 120x160cm</t>
  </si>
  <si>
    <t>R5778</t>
  </si>
  <si>
    <t>Cortina Roller Duo Gris 220x240cm</t>
  </si>
  <si>
    <t>R6028</t>
  </si>
  <si>
    <t>Kit Instalación Cortina Roller Duo 28mm</t>
  </si>
  <si>
    <t>R6029</t>
  </si>
  <si>
    <t>Kit Instalación Cortina Roller Blackout 35mm</t>
  </si>
  <si>
    <t>R6078</t>
  </si>
  <si>
    <t>Toldo con brazo retractil Terrazas 2x1.5 Mts Beige</t>
  </si>
  <si>
    <t>R6079</t>
  </si>
  <si>
    <t>Toldo con brazo retractil Terrazas 2x1.5 Mts Blanco</t>
  </si>
  <si>
    <t>R6080</t>
  </si>
  <si>
    <t>Toldo con brazo retractil Terrazas 3x2.5 Mts Blanco</t>
  </si>
  <si>
    <t>R6081</t>
  </si>
  <si>
    <t>Toldo con brazo retractil Terrazas 4x2.5 Mts Beige</t>
  </si>
  <si>
    <t>R6082</t>
  </si>
  <si>
    <t>Toldo con brazo retractil Terrazas 4x2.5 Mts Blanco</t>
  </si>
  <si>
    <t>R6545</t>
  </si>
  <si>
    <t>Juego de Comedor Vincenzi Negro</t>
  </si>
  <si>
    <t>R6570</t>
  </si>
  <si>
    <t>Cortina de Tela Blackout Vincenzi 140x220 Gris Grafito</t>
  </si>
  <si>
    <t>R6571</t>
  </si>
  <si>
    <t>Cortina de Tela Blackout Vincenzi 140x220 Beige</t>
  </si>
  <si>
    <t>R6572</t>
  </si>
  <si>
    <t>Cortina de Tela Blackout Vincenzi 140x220 Gris</t>
  </si>
  <si>
    <t>R6573</t>
  </si>
  <si>
    <t>Cortina de Tela Blackout Vincenzi 140x220 Blanca</t>
  </si>
  <si>
    <t>R6574</t>
  </si>
  <si>
    <t>Cortina de Tela Blackout + Velo  Vincenzi 140x220 Gris Grafito</t>
  </si>
  <si>
    <t>R6575</t>
  </si>
  <si>
    <t>Cortina de Tela Blackout + Velo Vincenzi 140x220 Beige</t>
  </si>
  <si>
    <t>R6576</t>
  </si>
  <si>
    <t>Cortina de Tela Blackout + Velo Vincenzi 140x220 Gris</t>
  </si>
  <si>
    <t>R6577</t>
  </si>
  <si>
    <t>Cortina de Tela Blackout + Velo Vincenzi 140x220 Blanca</t>
  </si>
  <si>
    <t>R6579</t>
  </si>
  <si>
    <t>Quitasol Lateral 360 Khaki</t>
  </si>
  <si>
    <t>R6607</t>
  </si>
  <si>
    <t>Juego de Comedor Vincenzi Café</t>
  </si>
  <si>
    <t>R6680</t>
  </si>
  <si>
    <t>Cortina Roller Garden Negra 150x250cm</t>
  </si>
  <si>
    <t>R6681</t>
  </si>
  <si>
    <t>Cortina Roller Garden Negra 200x250cm</t>
  </si>
  <si>
    <t>R6684</t>
  </si>
  <si>
    <t>Pack Cortina de Tela Blackout Vincenzi 140x220 Gris Grafito</t>
  </si>
  <si>
    <t>R6685</t>
  </si>
  <si>
    <t>Pack Cortina de Tela Blackout Vincenzi 140x220 Gris</t>
  </si>
  <si>
    <t>R6686</t>
  </si>
  <si>
    <t>Pack Cortina de Tela Blackout Vincenzi 140x220 Blanca</t>
  </si>
  <si>
    <t>R6687</t>
  </si>
  <si>
    <t>Pack Cortina de Tela Blackout Vincenzi 140x220 Beige</t>
  </si>
  <si>
    <t>R6688</t>
  </si>
  <si>
    <t>Pack Cortina de Tela Blackout + Velo Vincenzi 140x220 Gris Grafito</t>
  </si>
  <si>
    <t>R6689</t>
  </si>
  <si>
    <t>Pack Cortina de Tela Blackout + Velo Vincenzi 140x220 Beige</t>
  </si>
  <si>
    <t>R6690</t>
  </si>
  <si>
    <t>Pack Cortina de Tela Blackout + Velo Vincenzi 140x220 Gris</t>
  </si>
  <si>
    <t>R6691</t>
  </si>
  <si>
    <t>Pack Cortina de Tela Blackout + Velo Vincenzi 140x220 Blanca</t>
  </si>
  <si>
    <t>R6699</t>
  </si>
  <si>
    <t>Quitasol Lateral 3m Khaki</t>
  </si>
  <si>
    <t>R6700</t>
  </si>
  <si>
    <t>Quitasol Lateral 3MT Beige</t>
  </si>
  <si>
    <t>R6701</t>
  </si>
  <si>
    <t>Quitasol 3MT LED Kaki</t>
  </si>
  <si>
    <t>R6702</t>
  </si>
  <si>
    <t>Toldo Retractil Motorizado Beige 3mts</t>
  </si>
  <si>
    <t>R6703</t>
  </si>
  <si>
    <t>Toldo Retractil Motorizado Beige 4mts</t>
  </si>
  <si>
    <t>R6704</t>
  </si>
  <si>
    <t>PÉRGOLA BIOCLIMÁTICA VINCENZI MANUAL 3X3 ARCADIA</t>
  </si>
  <si>
    <t>R6705</t>
  </si>
  <si>
    <t>PÉRGOLA BIOCLIMÁTICA VINCENZI MANUAL 3X4 ARCADIA</t>
  </si>
  <si>
    <t>R6706</t>
  </si>
  <si>
    <t>PÉRGOLA BIOCLIMÁTICA VINCENZI ELYSIUM 3X3 (Automatizada con Luz Led Integrada)</t>
  </si>
  <si>
    <t>R6707</t>
  </si>
  <si>
    <t>PÉRGOLA BIOCLIMÁTICA VINCENZI ELYSIUM 3X4  (Automatizada + Luz Led Integrada)</t>
  </si>
  <si>
    <t>R6708</t>
  </si>
  <si>
    <t>PÉRGOLA BIOCLIMÁTICA VINCENZI MANUAL 3X3 ARCADIA + LUCES LED</t>
  </si>
  <si>
    <t>R6709</t>
  </si>
  <si>
    <t>PÉRGOLA BIOCLIMÁTICA VINCENZI MANUAL 3X4 ARCADIA + LUZ LED</t>
  </si>
  <si>
    <t>R6755</t>
  </si>
  <si>
    <t>Repisa soporte 43.5x23.5x50 cm</t>
  </si>
  <si>
    <t>R6759</t>
  </si>
  <si>
    <t>Cava de vino 70x60x10cm</t>
  </si>
  <si>
    <t>R6760</t>
  </si>
  <si>
    <t>Cava de vino vertical 100x30x10 cm</t>
  </si>
  <si>
    <t>R6761</t>
  </si>
  <si>
    <t>Cava de vino vertical 210x33x10 cm</t>
  </si>
  <si>
    <t>R6772</t>
  </si>
  <si>
    <t>Zapatero organizador</t>
  </si>
  <si>
    <t>R6803</t>
  </si>
  <si>
    <t>Repisa soporte 63.5x23.5x50CM</t>
  </si>
  <si>
    <t>R6854</t>
  </si>
  <si>
    <t>Quitasol Violeta</t>
  </si>
  <si>
    <t>R6856</t>
  </si>
  <si>
    <t>CORTINA ZIPSCREEN AUTOMÁTICA VINCENZI 3M WINDPROOF</t>
  </si>
  <si>
    <t>R6857</t>
  </si>
  <si>
    <t>CORTINA ZIPSCREEN AUTOMÁTICA VINCENZI 4M WINDPROOF</t>
  </si>
  <si>
    <t>R6858</t>
  </si>
  <si>
    <t>CALEFACTOR DE TERRAZA VINCENZI CON CONTROL 1500W</t>
  </si>
  <si>
    <t>R6859</t>
  </si>
  <si>
    <t>CALEFACTOR DE TERRAZA VINCENZI CON CONTROL 2000W</t>
  </si>
  <si>
    <t>R6860</t>
  </si>
  <si>
    <t>LUCES LED PARA PÉRGOLA BIOCLIMÁTICA VINCENCI ARCADIA 3X3</t>
  </si>
  <si>
    <t>R6861</t>
  </si>
  <si>
    <t>LUCES LED PARA PÉRGOLA BIOCLIMÁTICA VINCENCI ARCADIA 3X4</t>
  </si>
  <si>
    <t>R6862</t>
  </si>
  <si>
    <t>VENTILADOR DE TECHO PARA PÉRGOLA BIOCLIMÁTICA VINCENZI</t>
  </si>
  <si>
    <t>R6863</t>
  </si>
  <si>
    <t>VIGA DE SOPORTE PARA VENTILADOR PÉRGOLA BIOCLIMÁTICA VINCENZI</t>
  </si>
  <si>
    <t>R6865</t>
  </si>
  <si>
    <t>RESERVA DE PÉRGOLA BIOCLIMÁTICA VINCENZI</t>
  </si>
  <si>
    <t>R6867</t>
  </si>
  <si>
    <t>Cortina Roller Cierre De Terraza Blanca 1.00*2.50 [m] garden</t>
  </si>
  <si>
    <t>R6868</t>
  </si>
  <si>
    <t>Cortina Roller Cierre De Terraza Negra 1.00*2.50 [m] garden</t>
  </si>
  <si>
    <t>R6869</t>
  </si>
  <si>
    <t>CORTINA MANUAL ZIPSCREEN VINCENZI 3M WINDPROOF</t>
  </si>
  <si>
    <t>R6870</t>
  </si>
  <si>
    <t>CORTINA MANUAL ZIPSCREEN VINCENZI 4M WINDPROOF</t>
  </si>
  <si>
    <t>R6873</t>
  </si>
  <si>
    <t>Juego Comedor Terraza Jardín Rattan 4 Piezas</t>
  </si>
  <si>
    <t>R6893</t>
  </si>
  <si>
    <t>Quitasol Lateral 360 Gris grafito</t>
  </si>
  <si>
    <t>R6894</t>
  </si>
  <si>
    <t>Quitasol Lateral 360 Gris claro</t>
  </si>
  <si>
    <t>R6895</t>
  </si>
  <si>
    <t>Quitasol lateral 3x3mt gris grafito</t>
  </si>
  <si>
    <t>R6896</t>
  </si>
  <si>
    <t>Quitasol lateral 3x3mt gris claro</t>
  </si>
  <si>
    <t>R6897</t>
  </si>
  <si>
    <t>Quitasol lateral con luz led 3x3mt gris grafito</t>
  </si>
  <si>
    <t>R6898</t>
  </si>
  <si>
    <t>Toldo con brazo retráctil Terrazas 4x2,5mts Gris grafito</t>
  </si>
  <si>
    <t>R6899</t>
  </si>
  <si>
    <t>Toldo con brazo retráctil Terrazas 3x2,5mts Gris grafito</t>
  </si>
  <si>
    <t>R6900</t>
  </si>
  <si>
    <t>Toldo con brazo retráctil Terrazas 2x2,5mts Gris grafito</t>
  </si>
  <si>
    <t>R6901</t>
  </si>
  <si>
    <t>Quitasol lateral con luz led 3x3mt khaki</t>
  </si>
  <si>
    <t>R6925</t>
  </si>
  <si>
    <t>Base De Cama ZEN Vincenzi 2 Plazas *150x190x36cm*</t>
  </si>
  <si>
    <t>R6926</t>
  </si>
  <si>
    <t>Base De Cama ZEN Vincenzi 1.5 Plazas *105x190x36cm*</t>
  </si>
  <si>
    <t>R6927</t>
  </si>
  <si>
    <t>Base De Cama ZEN Vincenzi King *180x200x36cm*</t>
  </si>
  <si>
    <t>R6928</t>
  </si>
  <si>
    <t>Base De Cama NOVA Con Respaldo Vincenzi 1.5 Plazas *105x190x30cm*</t>
  </si>
  <si>
    <t>R6929</t>
  </si>
  <si>
    <t>Base De Cama NOVA Con Respaldo Vincenzi 2 Plazas *150x190x30cm*</t>
  </si>
  <si>
    <t>R6930</t>
  </si>
  <si>
    <t>Base de Cama NOVA Con Respaldo Vincenzi Super King *200x200x30cm*</t>
  </si>
  <si>
    <t>R6931</t>
  </si>
  <si>
    <t>Sabana 1800 Hotel Ultra Suave 1.5 Plaza Blanco</t>
  </si>
  <si>
    <t>R6932</t>
  </si>
  <si>
    <t>Sabana 1800 Hotel Ultra Suave 1.5 Plaza Gris</t>
  </si>
  <si>
    <t>R6933</t>
  </si>
  <si>
    <t>Sabana 1800 Hotel Ultra Suave 1.5 Plaza Beige</t>
  </si>
  <si>
    <t>R6934</t>
  </si>
  <si>
    <t>Sabana 1800 Hotel Ultra Suave 1.5 Plaza Negro</t>
  </si>
  <si>
    <t>R6935</t>
  </si>
  <si>
    <t>Sabana 1800 Hotel Ultra Suave 2 plaza Blanco</t>
  </si>
  <si>
    <t>R6936</t>
  </si>
  <si>
    <t>Sabana 1800 Hotel Ultra Suave 2 plaza Gris</t>
  </si>
  <si>
    <t>R6937</t>
  </si>
  <si>
    <t>Sabana 1800 Hotel Ultra Suave 2 plaza Beige</t>
  </si>
  <si>
    <t>R6938</t>
  </si>
  <si>
    <t>Sabana 1800 Hotel Ultra Suave 2 plaza Negro</t>
  </si>
  <si>
    <t>R6939</t>
  </si>
  <si>
    <t>Sabana 1800 Hotel Ultra Suave king Blanco</t>
  </si>
  <si>
    <t>R6940</t>
  </si>
  <si>
    <t>Sabana 1800 Hotel Ultra Suave king Gris</t>
  </si>
  <si>
    <t>R6941</t>
  </si>
  <si>
    <t>Sabana 1800 Hotel Ultra Suave king Beige</t>
  </si>
  <si>
    <t>R6942</t>
  </si>
  <si>
    <t>Sabana 1800 Hotel Ultra Suave king Negro</t>
  </si>
  <si>
    <t>R6956</t>
  </si>
  <si>
    <t>Base de Cama 90*190*36cm 1 plaza ZEN</t>
  </si>
  <si>
    <t>R6957</t>
  </si>
  <si>
    <t>Base de Cama 90x190x30cm 1 plaza NOVA</t>
  </si>
  <si>
    <t>TOTAL</t>
  </si>
  <si>
    <t>R3357</t>
  </si>
  <si>
    <t>R6809</t>
  </si>
  <si>
    <t>R1116</t>
  </si>
  <si>
    <t>R3259</t>
  </si>
  <si>
    <t>R3568</t>
  </si>
  <si>
    <t>R4027</t>
  </si>
  <si>
    <t>R4028</t>
  </si>
  <si>
    <t>R4030</t>
  </si>
  <si>
    <t>R4191</t>
  </si>
  <si>
    <t>R5794</t>
  </si>
  <si>
    <t>R5821</t>
  </si>
  <si>
    <t>R6726</t>
  </si>
  <si>
    <t>R6765</t>
  </si>
  <si>
    <t>R6826</t>
  </si>
  <si>
    <t>R6827</t>
  </si>
  <si>
    <t>R6828</t>
  </si>
  <si>
    <t>R6829</t>
  </si>
  <si>
    <t>R6874</t>
  </si>
  <si>
    <t>R6947</t>
  </si>
  <si>
    <t>R6978</t>
  </si>
  <si>
    <t>R2829</t>
  </si>
  <si>
    <t>R3024</t>
  </si>
  <si>
    <t>R4289</t>
  </si>
  <si>
    <t>R5909</t>
  </si>
  <si>
    <t>R5972</t>
  </si>
  <si>
    <t>R5975</t>
  </si>
  <si>
    <t>R5986</t>
  </si>
  <si>
    <t>R6092</t>
  </si>
  <si>
    <t>R6093</t>
  </si>
  <si>
    <t>R6097</t>
  </si>
  <si>
    <t>R6110</t>
  </si>
  <si>
    <t>R6111</t>
  </si>
  <si>
    <t>R6585</t>
  </si>
  <si>
    <t>R6744</t>
  </si>
  <si>
    <t>R6745</t>
  </si>
  <si>
    <t>R6746</t>
  </si>
  <si>
    <t>R6769</t>
  </si>
  <si>
    <t>R6804</t>
  </si>
  <si>
    <t>R6277</t>
  </si>
  <si>
    <t>R6278</t>
  </si>
  <si>
    <t>R6279</t>
  </si>
  <si>
    <t>R6280</t>
  </si>
  <si>
    <t>R6298</t>
  </si>
  <si>
    <t>R6299</t>
  </si>
  <si>
    <t>R6300</t>
  </si>
  <si>
    <t>R6799</t>
  </si>
  <si>
    <t>R5998</t>
  </si>
  <si>
    <t>R6014</t>
  </si>
  <si>
    <t>R6184</t>
  </si>
  <si>
    <t>R6185</t>
  </si>
  <si>
    <t>R6186</t>
  </si>
  <si>
    <t>R6187</t>
  </si>
  <si>
    <t>R6188</t>
  </si>
  <si>
    <t>R6189</t>
  </si>
  <si>
    <t>R6190</t>
  </si>
  <si>
    <t>R6191</t>
  </si>
  <si>
    <t>R6192</t>
  </si>
  <si>
    <t>R6193</t>
  </si>
  <si>
    <t>R6194</t>
  </si>
  <si>
    <t>R6195</t>
  </si>
  <si>
    <t>R6196</t>
  </si>
  <si>
    <t>R6197</t>
  </si>
  <si>
    <t>R6198</t>
  </si>
  <si>
    <t>R6199</t>
  </si>
  <si>
    <t>R6282</t>
  </si>
  <si>
    <t>R6283</t>
  </si>
  <si>
    <t>R6284</t>
  </si>
  <si>
    <t>R6285</t>
  </si>
  <si>
    <t>R6286</t>
  </si>
  <si>
    <t>R6287</t>
  </si>
  <si>
    <t>R6288</t>
  </si>
  <si>
    <t>R6291</t>
  </si>
  <si>
    <t>R6309</t>
  </si>
  <si>
    <t>R6376</t>
  </si>
  <si>
    <t>R6382</t>
  </si>
  <si>
    <t>R6384</t>
  </si>
  <si>
    <t>R6385</t>
  </si>
  <si>
    <t>R6386</t>
  </si>
  <si>
    <t>R6387</t>
  </si>
  <si>
    <t>R6388</t>
  </si>
  <si>
    <t>R6389</t>
  </si>
  <si>
    <t>R6390</t>
  </si>
  <si>
    <t>R6453</t>
  </si>
  <si>
    <t>R6461</t>
  </si>
  <si>
    <t>R6468</t>
  </si>
  <si>
    <t>R6469</t>
  </si>
  <si>
    <t>R6557</t>
  </si>
  <si>
    <t>R6591</t>
  </si>
  <si>
    <t>R5623</t>
  </si>
  <si>
    <t>R5626</t>
  </si>
  <si>
    <t>R6750</t>
  </si>
  <si>
    <t>R6782</t>
  </si>
  <si>
    <t>R6212</t>
  </si>
  <si>
    <t>R6226</t>
  </si>
  <si>
    <t>R6228</t>
  </si>
  <si>
    <t>R6230</t>
  </si>
  <si>
    <t>R6232</t>
  </si>
  <si>
    <t>R6234</t>
  </si>
  <si>
    <t>R6236</t>
  </si>
  <si>
    <t>R6238</t>
  </si>
  <si>
    <t>R6240</t>
  </si>
  <si>
    <t>R6242</t>
  </si>
  <si>
    <t>R6244</t>
  </si>
  <si>
    <t>R6247</t>
  </si>
  <si>
    <t>R6343</t>
  </si>
  <si>
    <t>R6344</t>
  </si>
  <si>
    <t>R6757</t>
  </si>
  <si>
    <t>R6758</t>
  </si>
  <si>
    <t>a</t>
  </si>
  <si>
    <t>S</t>
  </si>
  <si>
    <t>Exel</t>
  </si>
  <si>
    <t>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</si>
</sst>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00C9A7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0F172A"/>
        <bgColor rgb="FF0F172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cicspa-my.sharepoint.com/personal/r_calderon_dcicspa_onmicrosoft_com/Documents/DCIC%20SpA/001.%20Analisis%20Informe/Analisis%20para%20compra/Forecast_2026_Segundo%20semestre%20con%20ajustes%2019-06.xlsx" TargetMode="External"/><Relationship Id="rId1" Type="http://schemas.openxmlformats.org/officeDocument/2006/relationships/externalLinkPath" Target="https://dcicspa-my.sharepoint.com/personal/r_calderon_dcicspa_onmicrosoft_com/Documents/DCIC%20SpA/001.%20Analisis%20Informe/Analisis%20para%20compra/Forecast_2026_Segundo%20semestre%20con%20ajustes%2019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 2026"/>
      <sheetName val="Alerta Stock y Quiebres"/>
      <sheetName val="Para Compra"/>
      <sheetName val="Analisis"/>
      <sheetName val="Plan de Compras"/>
      <sheetName val="Resumen Ejecutivo"/>
    </sheetNames>
    <sheetDataSet>
      <sheetData sheetId="0">
        <row r="1">
          <cell r="A1" t="str">
            <v>FORECAST 2026 v12 — Base 2025 corregida (8 grupos quiebres) | CC=Con Compra (repo sep) | SC=Sin Compra | Precios reales por mes (v3)</v>
          </cell>
        </row>
        <row r="2">
          <cell r="A2" t="str">
            <v>INFORMACIÓN SKU</v>
          </cell>
        </row>
        <row r="3">
          <cell r="A3" t="str">
            <v>SKU</v>
          </cell>
          <cell r="AJ3" t="str">
            <v>FC
CC</v>
          </cell>
        </row>
        <row r="4">
          <cell r="A4" t="str">
            <v>* Base 2025 corregida por quiebres (Opción B, 382 SKUs, 0 errores). CC=repo sep (−35%sep/−15%oct si quiebre jul/ago). SC=solo stock actual. Precios: ene-jun=real del mes; jul-dic=may26→abr26→... Cols ocultas: precios reales ene25-jun26.</v>
          </cell>
        </row>
        <row r="5">
          <cell r="A5" t="str">
            <v>R3015</v>
          </cell>
        </row>
        <row r="6">
          <cell r="A6" t="str">
            <v>R3086</v>
          </cell>
          <cell r="AJ6">
            <v>512</v>
          </cell>
        </row>
        <row r="7">
          <cell r="A7" t="str">
            <v>R3357</v>
          </cell>
        </row>
        <row r="8">
          <cell r="A8" t="str">
            <v>R6359</v>
          </cell>
        </row>
        <row r="9">
          <cell r="A9" t="str">
            <v>R6360</v>
          </cell>
        </row>
        <row r="10">
          <cell r="A10" t="str">
            <v>R6361</v>
          </cell>
        </row>
        <row r="11">
          <cell r="A11" t="str">
            <v>R6362</v>
          </cell>
        </row>
        <row r="12">
          <cell r="A12" t="str">
            <v>R6363</v>
          </cell>
        </row>
        <row r="13">
          <cell r="A13" t="str">
            <v>R6365</v>
          </cell>
          <cell r="AJ13">
            <v>30</v>
          </cell>
        </row>
        <row r="14">
          <cell r="A14" t="str">
            <v>R6790</v>
          </cell>
          <cell r="AJ14">
            <v>12</v>
          </cell>
        </row>
        <row r="15">
          <cell r="A15" t="str">
            <v>R6792</v>
          </cell>
        </row>
        <row r="16">
          <cell r="A16" t="str">
            <v>R6793</v>
          </cell>
        </row>
        <row r="17">
          <cell r="A17" t="str">
            <v>R6794</v>
          </cell>
        </row>
        <row r="18">
          <cell r="A18" t="str">
            <v>R6809</v>
          </cell>
        </row>
        <row r="19">
          <cell r="A19" t="str">
            <v>R6811</v>
          </cell>
          <cell r="AJ19">
            <v>15</v>
          </cell>
        </row>
        <row r="20">
          <cell r="A20" t="str">
            <v>R1088</v>
          </cell>
          <cell r="AJ20">
            <v>3</v>
          </cell>
        </row>
        <row r="21">
          <cell r="A21" t="str">
            <v>R1091</v>
          </cell>
          <cell r="AJ21">
            <v>9</v>
          </cell>
        </row>
        <row r="22">
          <cell r="A22" t="str">
            <v>R1101</v>
          </cell>
        </row>
        <row r="23">
          <cell r="A23" t="str">
            <v>R1116</v>
          </cell>
        </row>
        <row r="24">
          <cell r="A24" t="str">
            <v>R2745</v>
          </cell>
          <cell r="AJ24">
            <v>40</v>
          </cell>
        </row>
        <row r="25">
          <cell r="A25" t="str">
            <v>R3259</v>
          </cell>
        </row>
        <row r="26">
          <cell r="A26" t="str">
            <v>R3568</v>
          </cell>
        </row>
        <row r="27">
          <cell r="A27" t="str">
            <v>R4027</v>
          </cell>
        </row>
        <row r="28">
          <cell r="A28" t="str">
            <v>R4028</v>
          </cell>
        </row>
        <row r="29">
          <cell r="A29" t="str">
            <v>R4030</v>
          </cell>
        </row>
        <row r="30">
          <cell r="A30" t="str">
            <v>R4040</v>
          </cell>
          <cell r="AJ30">
            <v>100</v>
          </cell>
        </row>
        <row r="31">
          <cell r="A31" t="str">
            <v>R4188</v>
          </cell>
          <cell r="AJ31">
            <v>1</v>
          </cell>
        </row>
        <row r="32">
          <cell r="A32" t="str">
            <v>R4189</v>
          </cell>
          <cell r="AJ32">
            <v>1</v>
          </cell>
        </row>
        <row r="33">
          <cell r="A33" t="str">
            <v>R4190</v>
          </cell>
          <cell r="AJ33">
            <v>1</v>
          </cell>
        </row>
        <row r="34">
          <cell r="A34" t="str">
            <v>R4191</v>
          </cell>
        </row>
        <row r="35">
          <cell r="A35" t="str">
            <v>R4192</v>
          </cell>
          <cell r="AJ35">
            <v>1</v>
          </cell>
        </row>
        <row r="36">
          <cell r="A36" t="str">
            <v>R5290</v>
          </cell>
          <cell r="AJ36">
            <v>1</v>
          </cell>
        </row>
        <row r="37">
          <cell r="A37" t="str">
            <v>R5742</v>
          </cell>
        </row>
        <row r="38">
          <cell r="A38" t="str">
            <v>R5794</v>
          </cell>
        </row>
        <row r="39">
          <cell r="A39" t="str">
            <v>R5821</v>
          </cell>
        </row>
        <row r="40">
          <cell r="A40" t="str">
            <v>R6023</v>
          </cell>
          <cell r="AJ40">
            <v>66</v>
          </cell>
        </row>
        <row r="41">
          <cell r="A41" t="str">
            <v>R6391</v>
          </cell>
        </row>
        <row r="42">
          <cell r="A42" t="str">
            <v>R6471</v>
          </cell>
        </row>
        <row r="43">
          <cell r="A43" t="str">
            <v>R6564</v>
          </cell>
        </row>
        <row r="44">
          <cell r="A44" t="str">
            <v>R6598</v>
          </cell>
        </row>
        <row r="45">
          <cell r="A45" t="str">
            <v>R6599</v>
          </cell>
        </row>
        <row r="46">
          <cell r="A46" t="str">
            <v>R6601</v>
          </cell>
        </row>
        <row r="47">
          <cell r="A47" t="str">
            <v>R6602</v>
          </cell>
        </row>
        <row r="48">
          <cell r="A48" t="str">
            <v>R6603</v>
          </cell>
        </row>
        <row r="49">
          <cell r="A49" t="str">
            <v>R6604</v>
          </cell>
          <cell r="AJ49">
            <v>220</v>
          </cell>
        </row>
        <row r="50">
          <cell r="A50" t="str">
            <v>R6679</v>
          </cell>
        </row>
        <row r="51">
          <cell r="A51" t="str">
            <v>R6726</v>
          </cell>
          <cell r="AJ51">
            <v>1</v>
          </cell>
        </row>
        <row r="52">
          <cell r="A52" t="str">
            <v>R6728</v>
          </cell>
          <cell r="AJ52">
            <v>32</v>
          </cell>
        </row>
        <row r="53">
          <cell r="A53" t="str">
            <v>R6729</v>
          </cell>
          <cell r="AJ53">
            <v>60</v>
          </cell>
        </row>
        <row r="54">
          <cell r="A54" t="str">
            <v>R6732</v>
          </cell>
        </row>
        <row r="55">
          <cell r="A55" t="str">
            <v>R6765</v>
          </cell>
        </row>
        <row r="56">
          <cell r="A56" t="str">
            <v>R6798</v>
          </cell>
          <cell r="AJ56">
            <v>46</v>
          </cell>
        </row>
        <row r="57">
          <cell r="A57" t="str">
            <v>R6813</v>
          </cell>
        </row>
        <row r="58">
          <cell r="A58" t="str">
            <v>R6826</v>
          </cell>
        </row>
        <row r="59">
          <cell r="A59" t="str">
            <v>R6827</v>
          </cell>
        </row>
        <row r="60">
          <cell r="A60" t="str">
            <v>R6828</v>
          </cell>
        </row>
        <row r="61">
          <cell r="A61" t="str">
            <v>R6829</v>
          </cell>
        </row>
        <row r="62">
          <cell r="A62" t="str">
            <v>R6874</v>
          </cell>
        </row>
        <row r="63">
          <cell r="A63" t="str">
            <v>R6947</v>
          </cell>
        </row>
        <row r="64">
          <cell r="A64" t="str">
            <v>R6978</v>
          </cell>
        </row>
        <row r="65">
          <cell r="A65" t="str">
            <v>R6979</v>
          </cell>
        </row>
        <row r="66">
          <cell r="A66" t="str">
            <v>R6980</v>
          </cell>
          <cell r="AJ66">
            <v>90</v>
          </cell>
        </row>
        <row r="67">
          <cell r="A67" t="str">
            <v>R6981</v>
          </cell>
          <cell r="AJ67">
            <v>100</v>
          </cell>
        </row>
        <row r="68">
          <cell r="A68" t="str">
            <v>R6982</v>
          </cell>
          <cell r="AJ68">
            <v>100</v>
          </cell>
        </row>
        <row r="69">
          <cell r="A69" t="str">
            <v>R6983</v>
          </cell>
          <cell r="AJ69">
            <v>80</v>
          </cell>
        </row>
        <row r="70">
          <cell r="A70" t="str">
            <v>R6984</v>
          </cell>
        </row>
        <row r="71">
          <cell r="A71" t="str">
            <v>R6985</v>
          </cell>
          <cell r="AJ71">
            <v>41</v>
          </cell>
        </row>
        <row r="72">
          <cell r="A72" t="str">
            <v>R6986</v>
          </cell>
          <cell r="AJ72">
            <v>33</v>
          </cell>
        </row>
        <row r="73">
          <cell r="A73" t="str">
            <v>R2829</v>
          </cell>
        </row>
        <row r="74">
          <cell r="A74" t="str">
            <v>R2960</v>
          </cell>
        </row>
        <row r="75">
          <cell r="A75" t="str">
            <v>R2982</v>
          </cell>
        </row>
        <row r="76">
          <cell r="A76" t="str">
            <v>R2997</v>
          </cell>
          <cell r="AJ76">
            <v>2</v>
          </cell>
        </row>
        <row r="77">
          <cell r="A77" t="str">
            <v>R2998</v>
          </cell>
        </row>
        <row r="78">
          <cell r="A78" t="str">
            <v>R2999</v>
          </cell>
        </row>
        <row r="79">
          <cell r="A79" t="str">
            <v>R3000</v>
          </cell>
        </row>
        <row r="80">
          <cell r="A80" t="str">
            <v>R3024</v>
          </cell>
        </row>
        <row r="81">
          <cell r="A81" t="str">
            <v>R3025</v>
          </cell>
          <cell r="AJ81">
            <v>16</v>
          </cell>
        </row>
        <row r="82">
          <cell r="A82" t="str">
            <v>R3056</v>
          </cell>
        </row>
        <row r="83">
          <cell r="A83" t="str">
            <v>R3057</v>
          </cell>
        </row>
        <row r="84">
          <cell r="A84" t="str">
            <v>R3058</v>
          </cell>
        </row>
        <row r="85">
          <cell r="A85" t="str">
            <v>R3059</v>
          </cell>
        </row>
        <row r="86">
          <cell r="A86" t="str">
            <v>R3060</v>
          </cell>
        </row>
        <row r="87">
          <cell r="A87" t="str">
            <v>R3328</v>
          </cell>
        </row>
        <row r="88">
          <cell r="A88" t="str">
            <v>R3329</v>
          </cell>
          <cell r="AJ88">
            <v>17</v>
          </cell>
        </row>
        <row r="89">
          <cell r="A89" t="str">
            <v>R3330</v>
          </cell>
        </row>
        <row r="90">
          <cell r="A90" t="str">
            <v>R3331</v>
          </cell>
        </row>
        <row r="91">
          <cell r="A91" t="str">
            <v>R3332</v>
          </cell>
          <cell r="AJ91">
            <v>4</v>
          </cell>
        </row>
        <row r="92">
          <cell r="A92" t="str">
            <v>R4289</v>
          </cell>
        </row>
        <row r="93">
          <cell r="A93" t="str">
            <v>R4290</v>
          </cell>
        </row>
        <row r="94">
          <cell r="A94" t="str">
            <v>R5909</v>
          </cell>
        </row>
        <row r="95">
          <cell r="A95" t="str">
            <v>R5943</v>
          </cell>
          <cell r="AJ95">
            <v>95</v>
          </cell>
        </row>
        <row r="96">
          <cell r="A96" t="str">
            <v>R5948</v>
          </cell>
        </row>
        <row r="97">
          <cell r="A97" t="str">
            <v>R5972</v>
          </cell>
        </row>
        <row r="98">
          <cell r="A98" t="str">
            <v>R5973</v>
          </cell>
        </row>
        <row r="99">
          <cell r="A99" t="str">
            <v>R5974</v>
          </cell>
        </row>
        <row r="100">
          <cell r="A100" t="str">
            <v>R5975</v>
          </cell>
        </row>
        <row r="101">
          <cell r="A101" t="str">
            <v>R5984</v>
          </cell>
        </row>
        <row r="102">
          <cell r="A102" t="str">
            <v>R5985</v>
          </cell>
        </row>
        <row r="103">
          <cell r="A103" t="str">
            <v>R5986</v>
          </cell>
        </row>
        <row r="104">
          <cell r="A104" t="str">
            <v>R5987</v>
          </cell>
          <cell r="AJ104">
            <v>12</v>
          </cell>
        </row>
        <row r="105">
          <cell r="A105" t="str">
            <v>R5988</v>
          </cell>
          <cell r="AJ105">
            <v>10</v>
          </cell>
        </row>
        <row r="106">
          <cell r="A106" t="str">
            <v>R5989</v>
          </cell>
          <cell r="AJ106">
            <v>25</v>
          </cell>
        </row>
        <row r="107">
          <cell r="A107" t="str">
            <v>R5990</v>
          </cell>
          <cell r="AJ107">
            <v>19</v>
          </cell>
        </row>
        <row r="108">
          <cell r="A108" t="str">
            <v>R5991</v>
          </cell>
          <cell r="AJ108">
            <v>27</v>
          </cell>
        </row>
        <row r="109">
          <cell r="A109" t="str">
            <v>R5992</v>
          </cell>
          <cell r="AJ109">
            <v>14</v>
          </cell>
        </row>
        <row r="110">
          <cell r="A110" t="str">
            <v>R5993</v>
          </cell>
          <cell r="AJ110">
            <v>30</v>
          </cell>
        </row>
        <row r="111">
          <cell r="A111" t="str">
            <v>R5994</v>
          </cell>
          <cell r="AJ111">
            <v>12</v>
          </cell>
        </row>
        <row r="112">
          <cell r="A112" t="str">
            <v>R6052</v>
          </cell>
          <cell r="AJ112">
            <v>10</v>
          </cell>
        </row>
        <row r="113">
          <cell r="A113" t="str">
            <v>R6053</v>
          </cell>
          <cell r="AJ113">
            <v>11</v>
          </cell>
        </row>
        <row r="114">
          <cell r="A114" t="str">
            <v>R6054</v>
          </cell>
        </row>
        <row r="115">
          <cell r="A115" t="str">
            <v>R6055</v>
          </cell>
          <cell r="AJ115">
            <v>32</v>
          </cell>
        </row>
        <row r="116">
          <cell r="A116" t="str">
            <v>R6056</v>
          </cell>
          <cell r="AJ116">
            <v>14</v>
          </cell>
        </row>
        <row r="117">
          <cell r="A117" t="str">
            <v>R6057</v>
          </cell>
          <cell r="AJ117">
            <v>10</v>
          </cell>
        </row>
        <row r="118">
          <cell r="A118" t="str">
            <v>R6058</v>
          </cell>
          <cell r="AJ118">
            <v>3</v>
          </cell>
        </row>
        <row r="119">
          <cell r="A119" t="str">
            <v>R6059</v>
          </cell>
          <cell r="AJ119">
            <v>15</v>
          </cell>
        </row>
        <row r="120">
          <cell r="A120" t="str">
            <v>R6092</v>
          </cell>
        </row>
        <row r="121">
          <cell r="A121" t="str">
            <v>R6093</v>
          </cell>
        </row>
        <row r="122">
          <cell r="A122" t="str">
            <v>R6097</v>
          </cell>
        </row>
        <row r="123">
          <cell r="A123" t="str">
            <v>R6110</v>
          </cell>
        </row>
        <row r="124">
          <cell r="A124" t="str">
            <v>R6111</v>
          </cell>
        </row>
        <row r="125">
          <cell r="A125" t="str">
            <v>R6157</v>
          </cell>
        </row>
        <row r="126">
          <cell r="A126" t="str">
            <v>R6178</v>
          </cell>
        </row>
        <row r="127">
          <cell r="A127" t="str">
            <v>R6179</v>
          </cell>
        </row>
        <row r="128">
          <cell r="A128" t="str">
            <v>R6180</v>
          </cell>
          <cell r="AJ128">
            <v>2</v>
          </cell>
        </row>
        <row r="129">
          <cell r="A129" t="str">
            <v>R6181</v>
          </cell>
          <cell r="AJ129">
            <v>11</v>
          </cell>
        </row>
        <row r="130">
          <cell r="A130" t="str">
            <v>R6182</v>
          </cell>
          <cell r="AJ130">
            <v>4</v>
          </cell>
        </row>
        <row r="131">
          <cell r="A131" t="str">
            <v>R6183</v>
          </cell>
        </row>
        <row r="132">
          <cell r="A132" t="str">
            <v>R6292</v>
          </cell>
        </row>
        <row r="133">
          <cell r="A133" t="str">
            <v>R6351</v>
          </cell>
          <cell r="AJ133">
            <v>16</v>
          </cell>
        </row>
        <row r="134">
          <cell r="A134" t="str">
            <v>R6353</v>
          </cell>
        </row>
        <row r="135">
          <cell r="A135" t="str">
            <v>R6354</v>
          </cell>
        </row>
        <row r="136">
          <cell r="A136" t="str">
            <v>R6355</v>
          </cell>
        </row>
        <row r="137">
          <cell r="A137" t="str">
            <v>R6356</v>
          </cell>
        </row>
        <row r="138">
          <cell r="A138" t="str">
            <v>R6357</v>
          </cell>
        </row>
        <row r="139">
          <cell r="A139" t="str">
            <v>R6358</v>
          </cell>
        </row>
        <row r="140">
          <cell r="A140" t="str">
            <v>R6531</v>
          </cell>
        </row>
        <row r="141">
          <cell r="A141" t="str">
            <v>R6532</v>
          </cell>
        </row>
        <row r="142">
          <cell r="A142" t="str">
            <v>R6533</v>
          </cell>
        </row>
        <row r="143">
          <cell r="A143" t="str">
            <v>R6538</v>
          </cell>
        </row>
        <row r="144">
          <cell r="A144" t="str">
            <v>R6565</v>
          </cell>
          <cell r="AJ144">
            <v>15</v>
          </cell>
        </row>
        <row r="145">
          <cell r="A145" t="str">
            <v>R6566</v>
          </cell>
        </row>
        <row r="146">
          <cell r="A146" t="str">
            <v>R6578</v>
          </cell>
          <cell r="AJ146">
            <v>100</v>
          </cell>
        </row>
        <row r="147">
          <cell r="A147" t="str">
            <v>R6585</v>
          </cell>
        </row>
        <row r="148">
          <cell r="A148" t="str">
            <v>R6586</v>
          </cell>
          <cell r="AJ148">
            <v>35</v>
          </cell>
        </row>
        <row r="149">
          <cell r="A149" t="str">
            <v>R6608</v>
          </cell>
        </row>
        <row r="150">
          <cell r="A150" t="str">
            <v>R6613</v>
          </cell>
        </row>
        <row r="151">
          <cell r="A151" t="str">
            <v>R6614</v>
          </cell>
        </row>
        <row r="152">
          <cell r="A152" t="str">
            <v>R6682</v>
          </cell>
          <cell r="AJ152">
            <v>20</v>
          </cell>
        </row>
        <row r="153">
          <cell r="A153" t="str">
            <v>R6683</v>
          </cell>
          <cell r="AJ153">
            <v>12</v>
          </cell>
        </row>
        <row r="154">
          <cell r="A154" t="str">
            <v>R6697</v>
          </cell>
        </row>
        <row r="155">
          <cell r="A155" t="str">
            <v>R6698</v>
          </cell>
          <cell r="AJ155">
            <v>10</v>
          </cell>
        </row>
        <row r="156">
          <cell r="A156" t="str">
            <v>R6718</v>
          </cell>
          <cell r="AJ156">
            <v>1</v>
          </cell>
        </row>
        <row r="157">
          <cell r="A157" t="str">
            <v>R6719</v>
          </cell>
          <cell r="AJ157">
            <v>3</v>
          </cell>
        </row>
        <row r="158">
          <cell r="A158" t="str">
            <v>R6720</v>
          </cell>
          <cell r="AJ158">
            <v>1</v>
          </cell>
        </row>
        <row r="159">
          <cell r="A159" t="str">
            <v>R6721</v>
          </cell>
          <cell r="AJ159">
            <v>6</v>
          </cell>
        </row>
        <row r="160">
          <cell r="A160" t="str">
            <v>R6722</v>
          </cell>
          <cell r="AJ160">
            <v>1</v>
          </cell>
        </row>
        <row r="161">
          <cell r="A161" t="str">
            <v>R6723</v>
          </cell>
          <cell r="AJ161">
            <v>1</v>
          </cell>
        </row>
        <row r="162">
          <cell r="A162" t="str">
            <v>R6730</v>
          </cell>
          <cell r="AJ162">
            <v>10</v>
          </cell>
        </row>
        <row r="163">
          <cell r="A163" t="str">
            <v>R6731</v>
          </cell>
          <cell r="AJ163">
            <v>25</v>
          </cell>
        </row>
        <row r="164">
          <cell r="A164" t="str">
            <v>R6744</v>
          </cell>
        </row>
        <row r="165">
          <cell r="A165" t="str">
            <v>R6745</v>
          </cell>
        </row>
        <row r="166">
          <cell r="A166" t="str">
            <v>R6746</v>
          </cell>
        </row>
        <row r="167">
          <cell r="A167" t="str">
            <v>R6747</v>
          </cell>
          <cell r="AJ167">
            <v>35</v>
          </cell>
        </row>
        <row r="168">
          <cell r="A168" t="str">
            <v>R6754</v>
          </cell>
          <cell r="AJ168">
            <v>30</v>
          </cell>
        </row>
        <row r="169">
          <cell r="A169" t="str">
            <v>R6769</v>
          </cell>
        </row>
        <row r="170">
          <cell r="A170" t="str">
            <v>R6770</v>
          </cell>
        </row>
        <row r="171">
          <cell r="A171" t="str">
            <v>R6775</v>
          </cell>
          <cell r="AJ171">
            <v>11</v>
          </cell>
        </row>
        <row r="172">
          <cell r="A172" t="str">
            <v>R6776</v>
          </cell>
          <cell r="AJ172">
            <v>12</v>
          </cell>
        </row>
        <row r="173">
          <cell r="A173" t="str">
            <v>R6777</v>
          </cell>
        </row>
        <row r="174">
          <cell r="A174" t="str">
            <v>R6787</v>
          </cell>
          <cell r="AJ174">
            <v>15</v>
          </cell>
        </row>
        <row r="175">
          <cell r="A175" t="str">
            <v>R6788</v>
          </cell>
          <cell r="AJ175">
            <v>16</v>
          </cell>
        </row>
        <row r="176">
          <cell r="A176" t="str">
            <v>R6796</v>
          </cell>
          <cell r="AJ176">
            <v>10</v>
          </cell>
        </row>
        <row r="177">
          <cell r="A177" t="str">
            <v>R6801</v>
          </cell>
        </row>
        <row r="178">
          <cell r="A178" t="str">
            <v>R6804</v>
          </cell>
        </row>
        <row r="179">
          <cell r="A179" t="str">
            <v>R6821</v>
          </cell>
          <cell r="AJ179">
            <v>7</v>
          </cell>
        </row>
        <row r="180">
          <cell r="A180" t="str">
            <v>R6822</v>
          </cell>
          <cell r="AJ180">
            <v>8</v>
          </cell>
        </row>
        <row r="181">
          <cell r="A181" t="str">
            <v>R6823</v>
          </cell>
          <cell r="AJ181">
            <v>9</v>
          </cell>
        </row>
        <row r="182">
          <cell r="A182" t="str">
            <v>R6824</v>
          </cell>
          <cell r="AJ182">
            <v>1</v>
          </cell>
        </row>
        <row r="183">
          <cell r="A183" t="str">
            <v>R6825</v>
          </cell>
          <cell r="AJ183">
            <v>3</v>
          </cell>
        </row>
        <row r="184">
          <cell r="A184" t="str">
            <v>R6855</v>
          </cell>
          <cell r="AJ184">
            <v>4</v>
          </cell>
        </row>
        <row r="185">
          <cell r="A185" t="str">
            <v>R6871</v>
          </cell>
          <cell r="AJ185">
            <v>14</v>
          </cell>
        </row>
        <row r="186">
          <cell r="A186" t="str">
            <v>R6872</v>
          </cell>
          <cell r="AJ186">
            <v>80</v>
          </cell>
        </row>
        <row r="187">
          <cell r="A187" t="str">
            <v>R6882</v>
          </cell>
        </row>
        <row r="188">
          <cell r="A188" t="str">
            <v>R6883</v>
          </cell>
          <cell r="AJ188">
            <v>20</v>
          </cell>
        </row>
        <row r="189">
          <cell r="A189" t="str">
            <v>R6884</v>
          </cell>
          <cell r="AJ189">
            <v>19</v>
          </cell>
        </row>
        <row r="190">
          <cell r="A190" t="str">
            <v>R6885</v>
          </cell>
          <cell r="AJ190">
            <v>13</v>
          </cell>
        </row>
        <row r="191">
          <cell r="A191" t="str">
            <v>R6886</v>
          </cell>
          <cell r="AJ191">
            <v>18</v>
          </cell>
        </row>
        <row r="192">
          <cell r="A192" t="str">
            <v>R6887</v>
          </cell>
          <cell r="AJ192">
            <v>20</v>
          </cell>
        </row>
        <row r="193">
          <cell r="A193" t="str">
            <v>R6906</v>
          </cell>
          <cell r="AJ193">
            <v>9</v>
          </cell>
        </row>
        <row r="194">
          <cell r="A194" t="str">
            <v>R6907</v>
          </cell>
          <cell r="AJ194">
            <v>9</v>
          </cell>
        </row>
        <row r="195">
          <cell r="A195" t="str">
            <v>R6908</v>
          </cell>
          <cell r="AJ195">
            <v>25</v>
          </cell>
        </row>
        <row r="196">
          <cell r="A196" t="str">
            <v>R6912</v>
          </cell>
          <cell r="AJ196">
            <v>20</v>
          </cell>
        </row>
        <row r="197">
          <cell r="A197" t="str">
            <v>R6913</v>
          </cell>
          <cell r="AJ197">
            <v>30</v>
          </cell>
        </row>
        <row r="198">
          <cell r="A198" t="str">
            <v>R6914</v>
          </cell>
          <cell r="AJ198">
            <v>20</v>
          </cell>
        </row>
        <row r="199">
          <cell r="A199" t="str">
            <v>R6915</v>
          </cell>
          <cell r="AJ199">
            <v>20</v>
          </cell>
        </row>
        <row r="200">
          <cell r="A200" t="str">
            <v>R6916</v>
          </cell>
        </row>
        <row r="201">
          <cell r="A201" t="str">
            <v>R6917</v>
          </cell>
          <cell r="AJ201">
            <v>25</v>
          </cell>
        </row>
        <row r="202">
          <cell r="A202" t="str">
            <v>R6918</v>
          </cell>
          <cell r="AJ202">
            <v>24</v>
          </cell>
        </row>
        <row r="203">
          <cell r="A203" t="str">
            <v>R6919</v>
          </cell>
          <cell r="AJ203">
            <v>28</v>
          </cell>
        </row>
        <row r="204">
          <cell r="A204" t="str">
            <v>R6945</v>
          </cell>
          <cell r="AJ204">
            <v>100</v>
          </cell>
        </row>
        <row r="205">
          <cell r="A205" t="str">
            <v>R6961</v>
          </cell>
          <cell r="AJ205">
            <v>7</v>
          </cell>
        </row>
        <row r="206">
          <cell r="A206" t="str">
            <v>R6962</v>
          </cell>
          <cell r="AJ206">
            <v>12</v>
          </cell>
        </row>
        <row r="207">
          <cell r="A207" t="str">
            <v>R6963</v>
          </cell>
          <cell r="AJ207">
            <v>16</v>
          </cell>
        </row>
        <row r="208">
          <cell r="A208" t="str">
            <v>R6964</v>
          </cell>
          <cell r="AJ208">
            <v>10</v>
          </cell>
        </row>
        <row r="209">
          <cell r="A209" t="str">
            <v>R6965</v>
          </cell>
          <cell r="AJ209">
            <v>5</v>
          </cell>
        </row>
        <row r="210">
          <cell r="A210" t="str">
            <v>R6966</v>
          </cell>
          <cell r="AJ210">
            <v>10</v>
          </cell>
        </row>
        <row r="211">
          <cell r="A211" t="str">
            <v>R7026</v>
          </cell>
        </row>
        <row r="212">
          <cell r="A212" t="str">
            <v>R7027</v>
          </cell>
        </row>
        <row r="213">
          <cell r="A213" t="str">
            <v>R3595</v>
          </cell>
          <cell r="AJ213">
            <v>54</v>
          </cell>
        </row>
        <row r="214">
          <cell r="A214" t="str">
            <v>R3765</v>
          </cell>
          <cell r="AJ214">
            <v>10</v>
          </cell>
        </row>
        <row r="215">
          <cell r="A215" t="str">
            <v>R5910</v>
          </cell>
        </row>
        <row r="216">
          <cell r="A216" t="str">
            <v>R5912</v>
          </cell>
        </row>
        <row r="217">
          <cell r="A217" t="str">
            <v>R5913</v>
          </cell>
        </row>
        <row r="218">
          <cell r="A218" t="str">
            <v>R5915</v>
          </cell>
        </row>
        <row r="219">
          <cell r="A219" t="str">
            <v>R5928</v>
          </cell>
        </row>
        <row r="220">
          <cell r="A220" t="str">
            <v>R5942</v>
          </cell>
        </row>
        <row r="221">
          <cell r="A221" t="str">
            <v>R5995</v>
          </cell>
          <cell r="AJ221">
            <v>14</v>
          </cell>
        </row>
        <row r="222">
          <cell r="A222" t="str">
            <v>R6019</v>
          </cell>
          <cell r="AJ222">
            <v>7</v>
          </cell>
        </row>
        <row r="223">
          <cell r="A223" t="str">
            <v>R6020</v>
          </cell>
          <cell r="AJ223">
            <v>22</v>
          </cell>
        </row>
        <row r="224">
          <cell r="A224" t="str">
            <v>R6021</v>
          </cell>
          <cell r="AJ224">
            <v>8</v>
          </cell>
        </row>
        <row r="225">
          <cell r="A225" t="str">
            <v>R6022</v>
          </cell>
        </row>
        <row r="226">
          <cell r="A226" t="str">
            <v>R6277</v>
          </cell>
        </row>
        <row r="227">
          <cell r="A227" t="str">
            <v>R6278</v>
          </cell>
        </row>
        <row r="228">
          <cell r="A228" t="str">
            <v>R6279</v>
          </cell>
        </row>
        <row r="229">
          <cell r="A229" t="str">
            <v>R6280</v>
          </cell>
        </row>
        <row r="230">
          <cell r="A230" t="str">
            <v>R6298</v>
          </cell>
        </row>
        <row r="231">
          <cell r="A231" t="str">
            <v>R6299</v>
          </cell>
        </row>
        <row r="232">
          <cell r="A232" t="str">
            <v>R6300</v>
          </cell>
        </row>
        <row r="233">
          <cell r="A233" t="str">
            <v>R6352</v>
          </cell>
        </row>
        <row r="234">
          <cell r="A234" t="str">
            <v>R6716</v>
          </cell>
        </row>
        <row r="235">
          <cell r="A235" t="str">
            <v>R6717</v>
          </cell>
        </row>
        <row r="236">
          <cell r="A236" t="str">
            <v>R6735</v>
          </cell>
        </row>
        <row r="237">
          <cell r="A237" t="str">
            <v>R6740</v>
          </cell>
        </row>
        <row r="238">
          <cell r="A238" t="str">
            <v>R6741</v>
          </cell>
        </row>
        <row r="239">
          <cell r="A239" t="str">
            <v>R6742</v>
          </cell>
        </row>
        <row r="240">
          <cell r="A240" t="str">
            <v>R6748</v>
          </cell>
        </row>
        <row r="241">
          <cell r="A241" t="str">
            <v>R6779</v>
          </cell>
          <cell r="AJ241">
            <v>30</v>
          </cell>
        </row>
        <row r="242">
          <cell r="A242" t="str">
            <v>R6780</v>
          </cell>
          <cell r="AJ242">
            <v>30</v>
          </cell>
        </row>
        <row r="243">
          <cell r="A243" t="str">
            <v>R6781</v>
          </cell>
        </row>
        <row r="244">
          <cell r="A244" t="str">
            <v>R6784</v>
          </cell>
          <cell r="AJ244">
            <v>30</v>
          </cell>
        </row>
        <row r="245">
          <cell r="A245" t="str">
            <v>R6799</v>
          </cell>
        </row>
        <row r="246">
          <cell r="A246" t="str">
            <v>R6800</v>
          </cell>
          <cell r="AJ246">
            <v>8</v>
          </cell>
        </row>
        <row r="247">
          <cell r="A247" t="str">
            <v>R6807</v>
          </cell>
        </row>
        <row r="248">
          <cell r="A248" t="str">
            <v>R6808</v>
          </cell>
        </row>
        <row r="249">
          <cell r="A249" t="str">
            <v>R6909</v>
          </cell>
        </row>
        <row r="250">
          <cell r="A250" t="str">
            <v>R6923</v>
          </cell>
        </row>
        <row r="251">
          <cell r="A251" t="str">
            <v>R6924</v>
          </cell>
        </row>
        <row r="252">
          <cell r="A252" t="str">
            <v>R6943</v>
          </cell>
        </row>
        <row r="253">
          <cell r="A253" t="str">
            <v>R6972</v>
          </cell>
          <cell r="AJ253">
            <v>1</v>
          </cell>
        </row>
        <row r="254">
          <cell r="A254" t="str">
            <v>R1008</v>
          </cell>
        </row>
        <row r="255">
          <cell r="A255" t="str">
            <v>R1151</v>
          </cell>
        </row>
        <row r="256">
          <cell r="A256" t="str">
            <v>R5952</v>
          </cell>
          <cell r="AJ256">
            <v>2</v>
          </cell>
        </row>
        <row r="257">
          <cell r="A257" t="str">
            <v>R5953</v>
          </cell>
          <cell r="AJ257">
            <v>20</v>
          </cell>
        </row>
        <row r="258">
          <cell r="A258" t="str">
            <v>R5954</v>
          </cell>
          <cell r="AJ258">
            <v>6</v>
          </cell>
        </row>
        <row r="259">
          <cell r="A259" t="str">
            <v>R5955</v>
          </cell>
        </row>
        <row r="260">
          <cell r="A260" t="str">
            <v>R5956</v>
          </cell>
        </row>
        <row r="261">
          <cell r="A261" t="str">
            <v>R5998</v>
          </cell>
        </row>
        <row r="262">
          <cell r="A262" t="str">
            <v>R6000</v>
          </cell>
          <cell r="AJ262">
            <v>9</v>
          </cell>
        </row>
        <row r="263">
          <cell r="A263" t="str">
            <v>R6001</v>
          </cell>
        </row>
        <row r="264">
          <cell r="A264" t="str">
            <v>R6002</v>
          </cell>
          <cell r="AJ264">
            <v>1</v>
          </cell>
        </row>
        <row r="265">
          <cell r="A265" t="str">
            <v>R6003</v>
          </cell>
        </row>
        <row r="266">
          <cell r="A266" t="str">
            <v>R6004</v>
          </cell>
        </row>
        <row r="267">
          <cell r="A267" t="str">
            <v>R6005</v>
          </cell>
        </row>
        <row r="268">
          <cell r="A268" t="str">
            <v>R6006</v>
          </cell>
        </row>
        <row r="269">
          <cell r="A269" t="str">
            <v>R6007</v>
          </cell>
          <cell r="AJ269">
            <v>6</v>
          </cell>
        </row>
        <row r="270">
          <cell r="A270" t="str">
            <v>R6008</v>
          </cell>
        </row>
        <row r="271">
          <cell r="A271" t="str">
            <v>R6012</v>
          </cell>
        </row>
        <row r="272">
          <cell r="A272" t="str">
            <v>R6014</v>
          </cell>
        </row>
        <row r="273">
          <cell r="A273" t="str">
            <v>R6046</v>
          </cell>
          <cell r="AJ273">
            <v>5</v>
          </cell>
        </row>
        <row r="274">
          <cell r="A274" t="str">
            <v>R6047</v>
          </cell>
          <cell r="AJ274">
            <v>4</v>
          </cell>
        </row>
        <row r="275">
          <cell r="A275" t="str">
            <v>R6184</v>
          </cell>
        </row>
        <row r="276">
          <cell r="A276" t="str">
            <v>R6185</v>
          </cell>
        </row>
        <row r="277">
          <cell r="A277" t="str">
            <v>R6186</v>
          </cell>
        </row>
        <row r="278">
          <cell r="A278" t="str">
            <v>R6187</v>
          </cell>
        </row>
        <row r="279">
          <cell r="A279" t="str">
            <v>R6188</v>
          </cell>
        </row>
        <row r="280">
          <cell r="A280" t="str">
            <v>R6189</v>
          </cell>
        </row>
        <row r="281">
          <cell r="A281" t="str">
            <v>R6190</v>
          </cell>
        </row>
        <row r="282">
          <cell r="A282" t="str">
            <v>R6191</v>
          </cell>
        </row>
        <row r="283">
          <cell r="A283" t="str">
            <v>R6192</v>
          </cell>
        </row>
        <row r="284">
          <cell r="A284" t="str">
            <v>R6193</v>
          </cell>
        </row>
        <row r="285">
          <cell r="A285" t="str">
            <v>R6194</v>
          </cell>
        </row>
        <row r="286">
          <cell r="A286" t="str">
            <v>R6195</v>
          </cell>
        </row>
        <row r="287">
          <cell r="A287" t="str">
            <v>R6196</v>
          </cell>
        </row>
        <row r="288">
          <cell r="A288" t="str">
            <v>R6197</v>
          </cell>
        </row>
        <row r="289">
          <cell r="A289" t="str">
            <v>R6198</v>
          </cell>
        </row>
        <row r="290">
          <cell r="A290" t="str">
            <v>R6199</v>
          </cell>
        </row>
        <row r="291">
          <cell r="A291" t="str">
            <v>R6282</v>
          </cell>
        </row>
        <row r="292">
          <cell r="A292" t="str">
            <v>R6283</v>
          </cell>
        </row>
        <row r="293">
          <cell r="A293" t="str">
            <v>R6284</v>
          </cell>
        </row>
        <row r="294">
          <cell r="A294" t="str">
            <v>R6285</v>
          </cell>
        </row>
        <row r="295">
          <cell r="A295" t="str">
            <v>R6286</v>
          </cell>
        </row>
        <row r="296">
          <cell r="A296" t="str">
            <v>R6287</v>
          </cell>
        </row>
        <row r="297">
          <cell r="A297" t="str">
            <v>R6288</v>
          </cell>
        </row>
        <row r="298">
          <cell r="A298" t="str">
            <v>R6291</v>
          </cell>
        </row>
        <row r="299">
          <cell r="A299" t="str">
            <v>R6309</v>
          </cell>
        </row>
        <row r="300">
          <cell r="A300" t="str">
            <v>R6310</v>
          </cell>
          <cell r="AJ300">
            <v>16</v>
          </cell>
        </row>
        <row r="301">
          <cell r="A301" t="str">
            <v>R6311</v>
          </cell>
          <cell r="AJ301">
            <v>27</v>
          </cell>
        </row>
        <row r="302">
          <cell r="A302" t="str">
            <v>R6312</v>
          </cell>
        </row>
        <row r="303">
          <cell r="A303" t="str">
            <v>R6313</v>
          </cell>
          <cell r="AJ303">
            <v>4</v>
          </cell>
        </row>
        <row r="304">
          <cell r="A304" t="str">
            <v>R6314</v>
          </cell>
          <cell r="AJ304">
            <v>4</v>
          </cell>
        </row>
        <row r="305">
          <cell r="A305" t="str">
            <v>R6315</v>
          </cell>
        </row>
        <row r="306">
          <cell r="A306" t="str">
            <v>R6316</v>
          </cell>
          <cell r="AJ306">
            <v>21</v>
          </cell>
        </row>
        <row r="307">
          <cell r="A307" t="str">
            <v>R6317</v>
          </cell>
          <cell r="AJ307">
            <v>4</v>
          </cell>
        </row>
        <row r="308">
          <cell r="A308" t="str">
            <v>R6318</v>
          </cell>
        </row>
        <row r="309">
          <cell r="A309" t="str">
            <v>R6319</v>
          </cell>
        </row>
        <row r="310">
          <cell r="A310" t="str">
            <v>R6320</v>
          </cell>
        </row>
        <row r="311">
          <cell r="A311" t="str">
            <v>R6321</v>
          </cell>
          <cell r="AJ311">
            <v>10</v>
          </cell>
        </row>
        <row r="312">
          <cell r="A312" t="str">
            <v>R6322</v>
          </cell>
          <cell r="AJ312">
            <v>22</v>
          </cell>
        </row>
        <row r="313">
          <cell r="A313" t="str">
            <v>R6366</v>
          </cell>
        </row>
        <row r="314">
          <cell r="A314" t="str">
            <v>R6367</v>
          </cell>
        </row>
        <row r="315">
          <cell r="A315" t="str">
            <v>R6368</v>
          </cell>
        </row>
        <row r="316">
          <cell r="A316" t="str">
            <v>R6369</v>
          </cell>
        </row>
        <row r="317">
          <cell r="A317" t="str">
            <v>R6370</v>
          </cell>
        </row>
        <row r="318">
          <cell r="A318" t="str">
            <v>R6371</v>
          </cell>
        </row>
        <row r="319">
          <cell r="A319" t="str">
            <v>R6376</v>
          </cell>
        </row>
        <row r="320">
          <cell r="A320" t="str">
            <v>R6378</v>
          </cell>
          <cell r="AJ320">
            <v>49</v>
          </cell>
        </row>
        <row r="321">
          <cell r="A321" t="str">
            <v>R6379</v>
          </cell>
          <cell r="AJ321">
            <v>56</v>
          </cell>
        </row>
        <row r="322">
          <cell r="A322" t="str">
            <v>R6380</v>
          </cell>
          <cell r="AJ322">
            <v>21</v>
          </cell>
        </row>
        <row r="323">
          <cell r="A323" t="str">
            <v>R6381</v>
          </cell>
          <cell r="AJ323">
            <v>43</v>
          </cell>
        </row>
        <row r="324">
          <cell r="A324" t="str">
            <v>R6382</v>
          </cell>
        </row>
        <row r="325">
          <cell r="A325" t="str">
            <v>R6383</v>
          </cell>
        </row>
        <row r="326">
          <cell r="A326" t="str">
            <v>R6384</v>
          </cell>
        </row>
        <row r="327">
          <cell r="A327" t="str">
            <v>R6385</v>
          </cell>
        </row>
        <row r="328">
          <cell r="A328" t="str">
            <v>R6386</v>
          </cell>
        </row>
        <row r="329">
          <cell r="A329" t="str">
            <v>R6387</v>
          </cell>
        </row>
        <row r="330">
          <cell r="A330" t="str">
            <v>R6388</v>
          </cell>
        </row>
        <row r="331">
          <cell r="A331" t="str">
            <v>R6389</v>
          </cell>
        </row>
        <row r="332">
          <cell r="A332" t="str">
            <v>R6390</v>
          </cell>
        </row>
        <row r="333">
          <cell r="A333" t="str">
            <v>R6444</v>
          </cell>
        </row>
        <row r="334">
          <cell r="A334" t="str">
            <v>R6445</v>
          </cell>
        </row>
        <row r="335">
          <cell r="A335" t="str">
            <v>R6446</v>
          </cell>
        </row>
        <row r="336">
          <cell r="A336" t="str">
            <v>R6447</v>
          </cell>
          <cell r="AJ336">
            <v>4</v>
          </cell>
        </row>
        <row r="337">
          <cell r="A337" t="str">
            <v>R6448</v>
          </cell>
        </row>
        <row r="338">
          <cell r="A338" t="str">
            <v>R6449</v>
          </cell>
        </row>
        <row r="339">
          <cell r="A339" t="str">
            <v>R6450</v>
          </cell>
        </row>
        <row r="340">
          <cell r="A340" t="str">
            <v>R6451</v>
          </cell>
        </row>
        <row r="341">
          <cell r="A341" t="str">
            <v>R6453</v>
          </cell>
        </row>
        <row r="342">
          <cell r="A342" t="str">
            <v>R6455</v>
          </cell>
          <cell r="AJ342">
            <v>200</v>
          </cell>
        </row>
        <row r="343">
          <cell r="A343" t="str">
            <v>R6456</v>
          </cell>
        </row>
        <row r="344">
          <cell r="A344" t="str">
            <v>R6457</v>
          </cell>
          <cell r="AJ344">
            <v>220</v>
          </cell>
        </row>
        <row r="345">
          <cell r="A345" t="str">
            <v>R6458</v>
          </cell>
          <cell r="AJ345">
            <v>29</v>
          </cell>
        </row>
        <row r="346">
          <cell r="A346" t="str">
            <v>R6459</v>
          </cell>
          <cell r="AJ346">
            <v>25</v>
          </cell>
        </row>
        <row r="347">
          <cell r="A347" t="str">
            <v>R6460</v>
          </cell>
          <cell r="AJ347">
            <v>6</v>
          </cell>
        </row>
        <row r="348">
          <cell r="A348" t="str">
            <v>R6461</v>
          </cell>
        </row>
        <row r="349">
          <cell r="A349" t="str">
            <v>R6462</v>
          </cell>
          <cell r="AJ349">
            <v>34</v>
          </cell>
        </row>
        <row r="350">
          <cell r="A350" t="str">
            <v>R6463</v>
          </cell>
          <cell r="AJ350">
            <v>85</v>
          </cell>
        </row>
        <row r="351">
          <cell r="A351" t="str">
            <v>R6464</v>
          </cell>
          <cell r="AJ351">
            <v>47</v>
          </cell>
        </row>
        <row r="352">
          <cell r="A352" t="str">
            <v>R6465</v>
          </cell>
        </row>
        <row r="353">
          <cell r="A353" t="str">
            <v>R6466</v>
          </cell>
        </row>
        <row r="354">
          <cell r="A354" t="str">
            <v>R6467</v>
          </cell>
        </row>
        <row r="355">
          <cell r="A355" t="str">
            <v>R6468</v>
          </cell>
        </row>
        <row r="356">
          <cell r="A356" t="str">
            <v>R6469</v>
          </cell>
        </row>
        <row r="357">
          <cell r="A357" t="str">
            <v>R6470</v>
          </cell>
          <cell r="AJ357">
            <v>1</v>
          </cell>
        </row>
        <row r="358">
          <cell r="A358" t="str">
            <v>R6552</v>
          </cell>
          <cell r="AJ358">
            <v>8</v>
          </cell>
        </row>
        <row r="359">
          <cell r="A359" t="str">
            <v>R6553</v>
          </cell>
        </row>
        <row r="360">
          <cell r="A360" t="str">
            <v>R6554</v>
          </cell>
        </row>
        <row r="361">
          <cell r="A361" t="str">
            <v>R6555</v>
          </cell>
          <cell r="AJ361">
            <v>13</v>
          </cell>
        </row>
        <row r="362">
          <cell r="A362" t="str">
            <v>R6557</v>
          </cell>
        </row>
        <row r="363">
          <cell r="A363" t="str">
            <v>R6583</v>
          </cell>
        </row>
        <row r="364">
          <cell r="A364" t="str">
            <v>R6588</v>
          </cell>
          <cell r="AJ364">
            <v>1</v>
          </cell>
        </row>
        <row r="365">
          <cell r="A365" t="str">
            <v>R6589</v>
          </cell>
          <cell r="AJ365">
            <v>1</v>
          </cell>
        </row>
        <row r="366">
          <cell r="A366" t="str">
            <v>R6590</v>
          </cell>
          <cell r="AJ366">
            <v>5</v>
          </cell>
        </row>
        <row r="367">
          <cell r="A367" t="str">
            <v>R6591</v>
          </cell>
        </row>
        <row r="368">
          <cell r="A368" t="str">
            <v>R6592</v>
          </cell>
          <cell r="AJ368">
            <v>1</v>
          </cell>
        </row>
        <row r="369">
          <cell r="A369" t="str">
            <v>R6593</v>
          </cell>
        </row>
        <row r="370">
          <cell r="A370" t="str">
            <v>R6594</v>
          </cell>
        </row>
        <row r="371">
          <cell r="A371" t="str">
            <v>R6595</v>
          </cell>
        </row>
        <row r="372">
          <cell r="A372" t="str">
            <v>R6766</v>
          </cell>
          <cell r="AJ372">
            <v>33</v>
          </cell>
        </row>
        <row r="373">
          <cell r="A373" t="str">
            <v>R6767</v>
          </cell>
        </row>
        <row r="374">
          <cell r="A374" t="str">
            <v>R6768</v>
          </cell>
        </row>
        <row r="375">
          <cell r="A375" t="str">
            <v>R6864</v>
          </cell>
          <cell r="AJ375">
            <v>44</v>
          </cell>
        </row>
        <row r="376">
          <cell r="A376" t="str">
            <v>R6881</v>
          </cell>
          <cell r="AJ376">
            <v>11</v>
          </cell>
        </row>
        <row r="377">
          <cell r="A377" t="str">
            <v>R6967</v>
          </cell>
        </row>
        <row r="378">
          <cell r="A378" t="str">
            <v>R1010</v>
          </cell>
        </row>
        <row r="379">
          <cell r="A379" t="str">
            <v>R1092</v>
          </cell>
          <cell r="AJ379">
            <v>6</v>
          </cell>
        </row>
        <row r="380">
          <cell r="A380" t="str">
            <v>R1190</v>
          </cell>
        </row>
        <row r="381">
          <cell r="A381" t="str">
            <v>R4017</v>
          </cell>
          <cell r="AJ381">
            <v>80</v>
          </cell>
        </row>
        <row r="382">
          <cell r="A382" t="str">
            <v>R4018</v>
          </cell>
        </row>
        <row r="383">
          <cell r="A383" t="str">
            <v>R4019</v>
          </cell>
        </row>
        <row r="384">
          <cell r="A384" t="str">
            <v>R6123</v>
          </cell>
        </row>
        <row r="385">
          <cell r="A385" t="str">
            <v>R6124</v>
          </cell>
        </row>
        <row r="386">
          <cell r="A386" t="str">
            <v>R6125</v>
          </cell>
        </row>
        <row r="387">
          <cell r="A387" t="str">
            <v>R6126</v>
          </cell>
        </row>
        <row r="388">
          <cell r="A388" t="str">
            <v>R6127</v>
          </cell>
        </row>
        <row r="389">
          <cell r="A389" t="str">
            <v>R6128</v>
          </cell>
        </row>
        <row r="390">
          <cell r="A390" t="str">
            <v>R6129</v>
          </cell>
        </row>
        <row r="391">
          <cell r="A391" t="str">
            <v>R6130</v>
          </cell>
        </row>
        <row r="392">
          <cell r="A392" t="str">
            <v>R6131</v>
          </cell>
        </row>
        <row r="393">
          <cell r="A393" t="str">
            <v>R6132</v>
          </cell>
        </row>
        <row r="394">
          <cell r="A394" t="str">
            <v>R6133</v>
          </cell>
        </row>
        <row r="395">
          <cell r="A395" t="str">
            <v>R6134</v>
          </cell>
        </row>
        <row r="396">
          <cell r="A396" t="str">
            <v>R6135</v>
          </cell>
        </row>
        <row r="397">
          <cell r="A397" t="str">
            <v>R6136</v>
          </cell>
        </row>
        <row r="398">
          <cell r="A398" t="str">
            <v>R6137</v>
          </cell>
        </row>
        <row r="399">
          <cell r="A399" t="str">
            <v>R6534</v>
          </cell>
        </row>
        <row r="400">
          <cell r="A400" t="str">
            <v>R6535</v>
          </cell>
        </row>
        <row r="401">
          <cell r="A401" t="str">
            <v>R6539</v>
          </cell>
          <cell r="AJ401">
            <v>32</v>
          </cell>
        </row>
        <row r="402">
          <cell r="A402" t="str">
            <v>R6540</v>
          </cell>
          <cell r="AJ402">
            <v>8</v>
          </cell>
        </row>
        <row r="403">
          <cell r="A403" t="str">
            <v>R6541</v>
          </cell>
          <cell r="AJ403">
            <v>1</v>
          </cell>
        </row>
        <row r="404">
          <cell r="A404" t="str">
            <v>R6542</v>
          </cell>
          <cell r="AJ404">
            <v>51</v>
          </cell>
        </row>
        <row r="405">
          <cell r="A405" t="str">
            <v>R6543</v>
          </cell>
        </row>
        <row r="406">
          <cell r="A406" t="str">
            <v>R6544</v>
          </cell>
        </row>
        <row r="407">
          <cell r="A407" t="str">
            <v>R6550</v>
          </cell>
        </row>
        <row r="408">
          <cell r="A408" t="str">
            <v>R6551</v>
          </cell>
        </row>
        <row r="409">
          <cell r="A409" t="str">
            <v>R6648</v>
          </cell>
        </row>
        <row r="410">
          <cell r="A410" t="str">
            <v>R6649</v>
          </cell>
        </row>
        <row r="411">
          <cell r="A411" t="str">
            <v>R6710</v>
          </cell>
          <cell r="AJ411">
            <v>5</v>
          </cell>
        </row>
        <row r="412">
          <cell r="A412" t="str">
            <v>R6711</v>
          </cell>
        </row>
        <row r="413">
          <cell r="A413" t="str">
            <v>R6712</v>
          </cell>
        </row>
        <row r="414">
          <cell r="A414" t="str">
            <v>R6713</v>
          </cell>
          <cell r="AJ414">
            <v>10</v>
          </cell>
        </row>
        <row r="415">
          <cell r="A415" t="str">
            <v>R6734</v>
          </cell>
          <cell r="AJ415">
            <v>10</v>
          </cell>
        </row>
        <row r="416">
          <cell r="A416" t="str">
            <v>R6736</v>
          </cell>
        </row>
        <row r="417">
          <cell r="A417" t="str">
            <v>R6756</v>
          </cell>
          <cell r="AJ417">
            <v>4</v>
          </cell>
        </row>
        <row r="418">
          <cell r="A418" t="str">
            <v>R6795</v>
          </cell>
        </row>
        <row r="419">
          <cell r="A419" t="str">
            <v>R6806</v>
          </cell>
          <cell r="AJ419">
            <v>50</v>
          </cell>
        </row>
        <row r="420">
          <cell r="A420" t="str">
            <v>R6810</v>
          </cell>
          <cell r="AJ420">
            <v>18</v>
          </cell>
        </row>
        <row r="421">
          <cell r="A421" t="str">
            <v>R1032</v>
          </cell>
          <cell r="AJ421">
            <v>200</v>
          </cell>
        </row>
        <row r="422">
          <cell r="A422" t="str">
            <v>R2986</v>
          </cell>
        </row>
        <row r="423">
          <cell r="A423" t="str">
            <v>R5615</v>
          </cell>
          <cell r="AJ423">
            <v>9</v>
          </cell>
        </row>
        <row r="424">
          <cell r="A424" t="str">
            <v>R5616</v>
          </cell>
        </row>
        <row r="425">
          <cell r="A425" t="str">
            <v>R5976</v>
          </cell>
        </row>
        <row r="426">
          <cell r="A426" t="str">
            <v>R5977</v>
          </cell>
          <cell r="AJ426">
            <v>9</v>
          </cell>
        </row>
        <row r="427">
          <cell r="A427" t="str">
            <v>R5978</v>
          </cell>
          <cell r="AJ427">
            <v>6</v>
          </cell>
        </row>
        <row r="428">
          <cell r="A428" t="str">
            <v>R5979</v>
          </cell>
          <cell r="AJ428">
            <v>30</v>
          </cell>
        </row>
        <row r="429">
          <cell r="A429" t="str">
            <v>R5980</v>
          </cell>
          <cell r="AJ429">
            <v>8</v>
          </cell>
        </row>
        <row r="430">
          <cell r="A430" t="str">
            <v>R6094</v>
          </cell>
        </row>
        <row r="431">
          <cell r="A431" t="str">
            <v>R6095</v>
          </cell>
          <cell r="AJ431">
            <v>13</v>
          </cell>
        </row>
        <row r="432">
          <cell r="A432" t="str">
            <v>R6155</v>
          </cell>
          <cell r="AJ432">
            <v>12</v>
          </cell>
        </row>
        <row r="433">
          <cell r="A433" t="str">
            <v>R6158</v>
          </cell>
          <cell r="AJ433">
            <v>15</v>
          </cell>
        </row>
        <row r="434">
          <cell r="A434" t="str">
            <v>R6159</v>
          </cell>
          <cell r="AJ434">
            <v>17</v>
          </cell>
        </row>
        <row r="435">
          <cell r="A435" t="str">
            <v>R6160</v>
          </cell>
          <cell r="AJ435">
            <v>12</v>
          </cell>
        </row>
        <row r="436">
          <cell r="A436" t="str">
            <v>R6201</v>
          </cell>
        </row>
        <row r="437">
          <cell r="A437" t="str">
            <v>R6202</v>
          </cell>
        </row>
        <row r="438">
          <cell r="A438" t="str">
            <v>R6203</v>
          </cell>
        </row>
        <row r="439">
          <cell r="A439" t="str">
            <v>R6204</v>
          </cell>
          <cell r="AJ439">
            <v>3</v>
          </cell>
        </row>
        <row r="440">
          <cell r="A440" t="str">
            <v>R6205</v>
          </cell>
        </row>
        <row r="441">
          <cell r="A441" t="str">
            <v>R6206</v>
          </cell>
        </row>
        <row r="442">
          <cell r="A442" t="str">
            <v>R6207</v>
          </cell>
        </row>
        <row r="443">
          <cell r="A443" t="str">
            <v>R6208</v>
          </cell>
        </row>
        <row r="444">
          <cell r="A444" t="str">
            <v>R6209</v>
          </cell>
          <cell r="AJ444">
            <v>6</v>
          </cell>
        </row>
        <row r="445">
          <cell r="A445" t="str">
            <v>R6210</v>
          </cell>
        </row>
        <row r="446">
          <cell r="A446" t="str">
            <v>R6270</v>
          </cell>
          <cell r="AJ446">
            <v>22</v>
          </cell>
        </row>
        <row r="447">
          <cell r="A447" t="str">
            <v>R6272</v>
          </cell>
          <cell r="AJ447">
            <v>9</v>
          </cell>
        </row>
        <row r="448">
          <cell r="A448" t="str">
            <v>R6275</v>
          </cell>
          <cell r="AJ448">
            <v>21</v>
          </cell>
        </row>
        <row r="449">
          <cell r="A449" t="str">
            <v>R6323</v>
          </cell>
        </row>
        <row r="450">
          <cell r="A450" t="str">
            <v>R6546</v>
          </cell>
          <cell r="AJ450">
            <v>21</v>
          </cell>
        </row>
        <row r="451">
          <cell r="A451" t="str">
            <v>R6547</v>
          </cell>
          <cell r="AJ451">
            <v>14</v>
          </cell>
        </row>
        <row r="452">
          <cell r="A452" t="str">
            <v>R6548</v>
          </cell>
          <cell r="AJ452">
            <v>11</v>
          </cell>
        </row>
        <row r="453">
          <cell r="A453" t="str">
            <v>R6549</v>
          </cell>
        </row>
        <row r="454">
          <cell r="A454" t="str">
            <v>R6560</v>
          </cell>
        </row>
        <row r="455">
          <cell r="A455" t="str">
            <v>R6561</v>
          </cell>
        </row>
        <row r="456">
          <cell r="A456" t="str">
            <v>R6562</v>
          </cell>
        </row>
        <row r="457">
          <cell r="A457" t="str">
            <v>R6563</v>
          </cell>
        </row>
        <row r="458">
          <cell r="A458" t="str">
            <v>R6567</v>
          </cell>
          <cell r="AJ458">
            <v>6</v>
          </cell>
        </row>
        <row r="459">
          <cell r="A459" t="str">
            <v>R6568</v>
          </cell>
          <cell r="AJ459">
            <v>11</v>
          </cell>
        </row>
        <row r="460">
          <cell r="A460" t="str">
            <v>R6587</v>
          </cell>
        </row>
        <row r="461">
          <cell r="A461" t="str">
            <v>R6642</v>
          </cell>
          <cell r="AJ461">
            <v>1</v>
          </cell>
        </row>
        <row r="462">
          <cell r="A462" t="str">
            <v>R6714</v>
          </cell>
        </row>
        <row r="463">
          <cell r="A463" t="str">
            <v>R6849</v>
          </cell>
        </row>
        <row r="464">
          <cell r="A464" t="str">
            <v>R6850</v>
          </cell>
          <cell r="AJ464">
            <v>30</v>
          </cell>
        </row>
        <row r="465">
          <cell r="A465" t="str">
            <v>R6851</v>
          </cell>
        </row>
        <row r="466">
          <cell r="A466" t="str">
            <v>R6852</v>
          </cell>
          <cell r="AJ466">
            <v>10</v>
          </cell>
        </row>
        <row r="467">
          <cell r="A467" t="str">
            <v>R6853</v>
          </cell>
          <cell r="AJ467">
            <v>92</v>
          </cell>
        </row>
        <row r="468">
          <cell r="A468" t="str">
            <v>R6954</v>
          </cell>
          <cell r="AJ468">
            <v>2</v>
          </cell>
        </row>
        <row r="469">
          <cell r="A469" t="str">
            <v>R1154</v>
          </cell>
        </row>
        <row r="470">
          <cell r="A470" t="str">
            <v>R3022</v>
          </cell>
        </row>
        <row r="471">
          <cell r="A471" t="str">
            <v>R3225</v>
          </cell>
          <cell r="AJ471">
            <v>1</v>
          </cell>
        </row>
        <row r="472">
          <cell r="A472" t="str">
            <v>R3226</v>
          </cell>
        </row>
        <row r="473">
          <cell r="A473" t="str">
            <v>R5555</v>
          </cell>
        </row>
        <row r="474">
          <cell r="A474" t="str">
            <v>R5623</v>
          </cell>
        </row>
        <row r="475">
          <cell r="A475" t="str">
            <v>R5626</v>
          </cell>
        </row>
        <row r="476">
          <cell r="A476" t="str">
            <v>R5628</v>
          </cell>
          <cell r="AJ476">
            <v>36</v>
          </cell>
        </row>
        <row r="477">
          <cell r="A477" t="str">
            <v>R6733</v>
          </cell>
          <cell r="AJ477">
            <v>140</v>
          </cell>
        </row>
        <row r="478">
          <cell r="A478" t="str">
            <v>R6737</v>
          </cell>
        </row>
        <row r="479">
          <cell r="A479" t="str">
            <v>R6738</v>
          </cell>
          <cell r="AJ479">
            <v>20</v>
          </cell>
        </row>
        <row r="480">
          <cell r="A480" t="str">
            <v>R6739</v>
          </cell>
          <cell r="AJ480">
            <v>30</v>
          </cell>
        </row>
        <row r="481">
          <cell r="A481" t="str">
            <v>R6743</v>
          </cell>
        </row>
        <row r="482">
          <cell r="A482" t="str">
            <v>R6749</v>
          </cell>
        </row>
        <row r="483">
          <cell r="A483" t="str">
            <v>R6750</v>
          </cell>
        </row>
        <row r="484">
          <cell r="A484" t="str">
            <v>R6751</v>
          </cell>
          <cell r="AJ484">
            <v>10</v>
          </cell>
        </row>
        <row r="485">
          <cell r="A485" t="str">
            <v>R6752</v>
          </cell>
          <cell r="AJ485">
            <v>10</v>
          </cell>
        </row>
        <row r="486">
          <cell r="A486" t="str">
            <v>R6753</v>
          </cell>
          <cell r="AJ486">
            <v>12</v>
          </cell>
        </row>
        <row r="487">
          <cell r="A487" t="str">
            <v>R6762</v>
          </cell>
        </row>
        <row r="488">
          <cell r="A488" t="str">
            <v>R6763</v>
          </cell>
        </row>
        <row r="489">
          <cell r="A489" t="str">
            <v>R6764</v>
          </cell>
        </row>
        <row r="490">
          <cell r="A490" t="str">
            <v>R6771</v>
          </cell>
        </row>
        <row r="491">
          <cell r="A491" t="str">
            <v>R6773</v>
          </cell>
        </row>
        <row r="492">
          <cell r="A492" t="str">
            <v>R6774</v>
          </cell>
          <cell r="AJ492">
            <v>20</v>
          </cell>
        </row>
        <row r="493">
          <cell r="A493" t="str">
            <v>R6778</v>
          </cell>
          <cell r="AJ493">
            <v>19</v>
          </cell>
        </row>
        <row r="494">
          <cell r="A494" t="str">
            <v>R6782</v>
          </cell>
        </row>
        <row r="495">
          <cell r="A495" t="str">
            <v>R6783</v>
          </cell>
        </row>
        <row r="496">
          <cell r="A496" t="str">
            <v>R6785</v>
          </cell>
          <cell r="AJ496">
            <v>8</v>
          </cell>
        </row>
        <row r="497">
          <cell r="A497" t="str">
            <v>R6791</v>
          </cell>
        </row>
        <row r="498">
          <cell r="A498" t="str">
            <v>R6802</v>
          </cell>
        </row>
        <row r="499">
          <cell r="A499" t="str">
            <v>R6812</v>
          </cell>
          <cell r="AJ499">
            <v>82</v>
          </cell>
        </row>
        <row r="500">
          <cell r="A500" t="str">
            <v>R6814</v>
          </cell>
        </row>
        <row r="501">
          <cell r="A501" t="str">
            <v>R6836</v>
          </cell>
        </row>
        <row r="502">
          <cell r="A502" t="str">
            <v>R6837</v>
          </cell>
        </row>
        <row r="503">
          <cell r="A503" t="str">
            <v>R6838</v>
          </cell>
          <cell r="AJ503">
            <v>11</v>
          </cell>
        </row>
        <row r="504">
          <cell r="A504" t="str">
            <v>R6839</v>
          </cell>
        </row>
        <row r="505">
          <cell r="A505" t="str">
            <v>R6840</v>
          </cell>
        </row>
        <row r="506">
          <cell r="A506" t="str">
            <v>R6841</v>
          </cell>
        </row>
        <row r="507">
          <cell r="A507" t="str">
            <v>R6842</v>
          </cell>
        </row>
        <row r="508">
          <cell r="A508" t="str">
            <v>R6843</v>
          </cell>
        </row>
        <row r="509">
          <cell r="A509" t="str">
            <v>R6845</v>
          </cell>
        </row>
        <row r="510">
          <cell r="A510" t="str">
            <v>R6846</v>
          </cell>
          <cell r="AJ510">
            <v>15</v>
          </cell>
        </row>
        <row r="511">
          <cell r="A511" t="str">
            <v>R6848</v>
          </cell>
          <cell r="AJ511">
            <v>2</v>
          </cell>
        </row>
        <row r="512">
          <cell r="A512" t="str">
            <v>R6892</v>
          </cell>
        </row>
        <row r="513">
          <cell r="A513" t="str">
            <v>R1024</v>
          </cell>
          <cell r="AJ513">
            <v>1</v>
          </cell>
        </row>
        <row r="514">
          <cell r="A514" t="str">
            <v>R2793</v>
          </cell>
        </row>
        <row r="515">
          <cell r="A515" t="str">
            <v>R6122</v>
          </cell>
        </row>
        <row r="516">
          <cell r="A516" t="str">
            <v>R6145</v>
          </cell>
        </row>
        <row r="517">
          <cell r="A517" t="str">
            <v>R6271</v>
          </cell>
        </row>
        <row r="518">
          <cell r="A518" t="str">
            <v>R1001</v>
          </cell>
        </row>
        <row r="519">
          <cell r="A519" t="str">
            <v>R1017</v>
          </cell>
          <cell r="AJ519">
            <v>17</v>
          </cell>
        </row>
        <row r="520">
          <cell r="A520" t="str">
            <v>R1704</v>
          </cell>
          <cell r="AJ520">
            <v>4</v>
          </cell>
        </row>
        <row r="521">
          <cell r="A521" t="str">
            <v>R1705</v>
          </cell>
          <cell r="AJ521">
            <v>5</v>
          </cell>
        </row>
        <row r="522">
          <cell r="A522" t="str">
            <v>R1706</v>
          </cell>
          <cell r="AJ522">
            <v>2</v>
          </cell>
        </row>
        <row r="523">
          <cell r="A523" t="str">
            <v>R1707</v>
          </cell>
          <cell r="AJ523">
            <v>3</v>
          </cell>
        </row>
        <row r="524">
          <cell r="A524" t="str">
            <v>R1708</v>
          </cell>
          <cell r="AJ524">
            <v>3</v>
          </cell>
        </row>
        <row r="525">
          <cell r="A525" t="str">
            <v>R1709</v>
          </cell>
          <cell r="AJ525">
            <v>1</v>
          </cell>
        </row>
        <row r="526">
          <cell r="A526" t="str">
            <v>R1710</v>
          </cell>
          <cell r="AJ526">
            <v>1</v>
          </cell>
        </row>
        <row r="527">
          <cell r="A527" t="str">
            <v>R1711</v>
          </cell>
          <cell r="AJ527">
            <v>3</v>
          </cell>
        </row>
        <row r="528">
          <cell r="A528" t="str">
            <v>R1712</v>
          </cell>
          <cell r="AJ528">
            <v>4</v>
          </cell>
        </row>
        <row r="529">
          <cell r="A529" t="str">
            <v>R1713</v>
          </cell>
          <cell r="AJ529">
            <v>1</v>
          </cell>
        </row>
        <row r="530">
          <cell r="A530" t="str">
            <v>R1714</v>
          </cell>
          <cell r="AJ530">
            <v>1</v>
          </cell>
        </row>
        <row r="531">
          <cell r="A531" t="str">
            <v>R1715</v>
          </cell>
          <cell r="AJ531">
            <v>3</v>
          </cell>
        </row>
        <row r="532">
          <cell r="A532" t="str">
            <v>R1716</v>
          </cell>
          <cell r="AJ532">
            <v>2</v>
          </cell>
        </row>
        <row r="533">
          <cell r="A533" t="str">
            <v>R1717</v>
          </cell>
          <cell r="AJ533">
            <v>4</v>
          </cell>
        </row>
        <row r="534">
          <cell r="A534" t="str">
            <v>R1718</v>
          </cell>
          <cell r="AJ534">
            <v>3</v>
          </cell>
        </row>
        <row r="535">
          <cell r="A535" t="str">
            <v>R1719</v>
          </cell>
        </row>
        <row r="536">
          <cell r="A536" t="str">
            <v>R1720</v>
          </cell>
          <cell r="AJ536">
            <v>1</v>
          </cell>
        </row>
        <row r="537">
          <cell r="A537" t="str">
            <v>R1721</v>
          </cell>
          <cell r="AJ537">
            <v>1</v>
          </cell>
        </row>
        <row r="538">
          <cell r="A538" t="str">
            <v>R1722</v>
          </cell>
          <cell r="AJ538">
            <v>4</v>
          </cell>
        </row>
        <row r="539">
          <cell r="A539" t="str">
            <v>R1723</v>
          </cell>
          <cell r="AJ539">
            <v>1</v>
          </cell>
        </row>
        <row r="540">
          <cell r="A540" t="str">
            <v>R1724</v>
          </cell>
          <cell r="AJ540">
            <v>4</v>
          </cell>
        </row>
        <row r="541">
          <cell r="A541" t="str">
            <v>R1725</v>
          </cell>
          <cell r="AJ541">
            <v>1</v>
          </cell>
        </row>
        <row r="542">
          <cell r="A542" t="str">
            <v>R1726</v>
          </cell>
          <cell r="AJ542">
            <v>1</v>
          </cell>
        </row>
        <row r="543">
          <cell r="A543" t="str">
            <v>R1727</v>
          </cell>
          <cell r="AJ543">
            <v>1</v>
          </cell>
        </row>
        <row r="544">
          <cell r="A544" t="str">
            <v>R1728</v>
          </cell>
          <cell r="AJ544">
            <v>2</v>
          </cell>
        </row>
        <row r="545">
          <cell r="A545" t="str">
            <v>R1729</v>
          </cell>
          <cell r="AJ545">
            <v>1</v>
          </cell>
        </row>
        <row r="546">
          <cell r="A546" t="str">
            <v>R1730</v>
          </cell>
          <cell r="AJ546">
            <v>4</v>
          </cell>
        </row>
        <row r="547">
          <cell r="A547" t="str">
            <v>R1731</v>
          </cell>
          <cell r="AJ547">
            <v>4</v>
          </cell>
        </row>
        <row r="548">
          <cell r="A548" t="str">
            <v>R1732</v>
          </cell>
          <cell r="AJ548">
            <v>3</v>
          </cell>
        </row>
        <row r="549">
          <cell r="A549" t="str">
            <v>R1733</v>
          </cell>
          <cell r="AJ549">
            <v>11</v>
          </cell>
        </row>
        <row r="550">
          <cell r="A550" t="str">
            <v>R1734</v>
          </cell>
          <cell r="AJ550">
            <v>7</v>
          </cell>
        </row>
        <row r="551">
          <cell r="A551" t="str">
            <v>R1735</v>
          </cell>
          <cell r="AJ551">
            <v>7</v>
          </cell>
        </row>
        <row r="552">
          <cell r="A552" t="str">
            <v>R1736</v>
          </cell>
          <cell r="AJ552">
            <v>8</v>
          </cell>
        </row>
        <row r="553">
          <cell r="A553" t="str">
            <v>R1737</v>
          </cell>
          <cell r="AJ553">
            <v>6</v>
          </cell>
        </row>
        <row r="554">
          <cell r="A554" t="str">
            <v>R1738</v>
          </cell>
          <cell r="AJ554">
            <v>3</v>
          </cell>
        </row>
        <row r="555">
          <cell r="A555" t="str">
            <v>R2848</v>
          </cell>
          <cell r="AJ555">
            <v>5</v>
          </cell>
        </row>
        <row r="556">
          <cell r="A556" t="str">
            <v>R2849</v>
          </cell>
          <cell r="AJ556">
            <v>7</v>
          </cell>
        </row>
        <row r="557">
          <cell r="A557" t="str">
            <v>R2850</v>
          </cell>
          <cell r="AJ557">
            <v>2</v>
          </cell>
        </row>
        <row r="558">
          <cell r="A558" t="str">
            <v>R2851</v>
          </cell>
          <cell r="AJ558">
            <v>5</v>
          </cell>
        </row>
        <row r="559">
          <cell r="A559" t="str">
            <v>R2852</v>
          </cell>
        </row>
        <row r="560">
          <cell r="A560" t="str">
            <v>R2853</v>
          </cell>
        </row>
        <row r="561">
          <cell r="A561" t="str">
            <v>R2854</v>
          </cell>
        </row>
        <row r="562">
          <cell r="A562" t="str">
            <v>R2855</v>
          </cell>
        </row>
        <row r="563">
          <cell r="A563" t="str">
            <v>R2856</v>
          </cell>
        </row>
        <row r="564">
          <cell r="A564" t="str">
            <v>R3095</v>
          </cell>
        </row>
        <row r="565">
          <cell r="A565" t="str">
            <v>R3096</v>
          </cell>
        </row>
        <row r="566">
          <cell r="A566" t="str">
            <v>R3495</v>
          </cell>
          <cell r="AJ566">
            <v>1</v>
          </cell>
        </row>
        <row r="567">
          <cell r="A567" t="str">
            <v>R3523</v>
          </cell>
          <cell r="AJ567">
            <v>3</v>
          </cell>
        </row>
        <row r="568">
          <cell r="A568" t="str">
            <v>R3524</v>
          </cell>
          <cell r="AJ568">
            <v>17</v>
          </cell>
        </row>
        <row r="569">
          <cell r="A569" t="str">
            <v>R3525</v>
          </cell>
          <cell r="AJ569">
            <v>14</v>
          </cell>
        </row>
        <row r="570">
          <cell r="A570" t="str">
            <v>R3526</v>
          </cell>
          <cell r="AJ570">
            <v>1</v>
          </cell>
        </row>
        <row r="571">
          <cell r="A571" t="str">
            <v>R3528</v>
          </cell>
          <cell r="AJ571">
            <v>2</v>
          </cell>
        </row>
        <row r="572">
          <cell r="A572" t="str">
            <v>R3530</v>
          </cell>
          <cell r="AJ572">
            <v>2</v>
          </cell>
        </row>
        <row r="573">
          <cell r="A573" t="str">
            <v>R3531</v>
          </cell>
          <cell r="AJ573">
            <v>2</v>
          </cell>
        </row>
        <row r="574">
          <cell r="A574" t="str">
            <v>R3532</v>
          </cell>
          <cell r="AJ574">
            <v>2</v>
          </cell>
        </row>
        <row r="575">
          <cell r="A575" t="str">
            <v>R3533</v>
          </cell>
          <cell r="AJ575">
            <v>3</v>
          </cell>
        </row>
        <row r="576">
          <cell r="A576" t="str">
            <v>R3534</v>
          </cell>
          <cell r="AJ576">
            <v>1</v>
          </cell>
        </row>
        <row r="577">
          <cell r="A577" t="str">
            <v>R3535</v>
          </cell>
          <cell r="AJ577">
            <v>2</v>
          </cell>
        </row>
        <row r="578">
          <cell r="A578" t="str">
            <v>R3536</v>
          </cell>
          <cell r="AJ578">
            <v>4</v>
          </cell>
        </row>
        <row r="579">
          <cell r="A579" t="str">
            <v>R3538</v>
          </cell>
          <cell r="AJ579">
            <v>4</v>
          </cell>
        </row>
        <row r="580">
          <cell r="A580" t="str">
            <v>R3539</v>
          </cell>
          <cell r="AJ580">
            <v>1</v>
          </cell>
        </row>
        <row r="581">
          <cell r="A581" t="str">
            <v>R3540</v>
          </cell>
          <cell r="AJ581">
            <v>5</v>
          </cell>
        </row>
        <row r="582">
          <cell r="A582" t="str">
            <v>R3543</v>
          </cell>
          <cell r="AJ582">
            <v>3</v>
          </cell>
        </row>
        <row r="583">
          <cell r="A583" t="str">
            <v>R3544</v>
          </cell>
          <cell r="AJ583">
            <v>3</v>
          </cell>
        </row>
        <row r="584">
          <cell r="A584" t="str">
            <v>R3545</v>
          </cell>
          <cell r="AJ584">
            <v>4</v>
          </cell>
        </row>
        <row r="585">
          <cell r="A585" t="str">
            <v>R3546</v>
          </cell>
          <cell r="AJ585">
            <v>12</v>
          </cell>
        </row>
        <row r="586">
          <cell r="A586" t="str">
            <v>R3547</v>
          </cell>
          <cell r="AJ586">
            <v>5</v>
          </cell>
        </row>
        <row r="587">
          <cell r="A587" t="str">
            <v>R3548</v>
          </cell>
          <cell r="AJ587">
            <v>3</v>
          </cell>
        </row>
        <row r="588">
          <cell r="A588" t="str">
            <v>R5609</v>
          </cell>
          <cell r="AJ588">
            <v>3</v>
          </cell>
        </row>
        <row r="589">
          <cell r="A589" t="str">
            <v>R5610</v>
          </cell>
          <cell r="AJ589">
            <v>3</v>
          </cell>
        </row>
        <row r="590">
          <cell r="A590" t="str">
            <v>R5611</v>
          </cell>
          <cell r="AJ590">
            <v>2</v>
          </cell>
        </row>
        <row r="591">
          <cell r="A591" t="str">
            <v>R5612</v>
          </cell>
        </row>
        <row r="592">
          <cell r="A592" t="str">
            <v>R5614</v>
          </cell>
          <cell r="AJ592">
            <v>2</v>
          </cell>
        </row>
        <row r="593">
          <cell r="A593" t="str">
            <v>R5752</v>
          </cell>
          <cell r="AJ593">
            <v>7</v>
          </cell>
        </row>
        <row r="594">
          <cell r="A594" t="str">
            <v>R5753</v>
          </cell>
        </row>
        <row r="595">
          <cell r="A595" t="str">
            <v>R5754</v>
          </cell>
          <cell r="AJ595">
            <v>20</v>
          </cell>
        </row>
        <row r="596">
          <cell r="A596" t="str">
            <v>R5755</v>
          </cell>
        </row>
        <row r="597">
          <cell r="A597" t="str">
            <v>R5756</v>
          </cell>
          <cell r="AJ597">
            <v>14</v>
          </cell>
        </row>
        <row r="598">
          <cell r="A598" t="str">
            <v>R5757</v>
          </cell>
        </row>
        <row r="599">
          <cell r="A599" t="str">
            <v>R5758</v>
          </cell>
          <cell r="AJ599">
            <v>13</v>
          </cell>
        </row>
        <row r="600">
          <cell r="A600" t="str">
            <v>R5759</v>
          </cell>
        </row>
        <row r="601">
          <cell r="A601" t="str">
            <v>R5760</v>
          </cell>
          <cell r="AJ601">
            <v>11</v>
          </cell>
        </row>
        <row r="602">
          <cell r="A602" t="str">
            <v>R5761</v>
          </cell>
          <cell r="AJ602">
            <v>21</v>
          </cell>
        </row>
        <row r="603">
          <cell r="A603" t="str">
            <v>R5762</v>
          </cell>
        </row>
        <row r="604">
          <cell r="A604" t="str">
            <v>R5763</v>
          </cell>
        </row>
        <row r="605">
          <cell r="A605" t="str">
            <v>R5764</v>
          </cell>
        </row>
        <row r="606">
          <cell r="A606" t="str">
            <v>R5765</v>
          </cell>
        </row>
        <row r="607">
          <cell r="A607" t="str">
            <v>R5766</v>
          </cell>
        </row>
        <row r="608">
          <cell r="A608" t="str">
            <v>R5767</v>
          </cell>
        </row>
        <row r="609">
          <cell r="A609" t="str">
            <v>R5769</v>
          </cell>
          <cell r="AJ609">
            <v>3</v>
          </cell>
        </row>
        <row r="610">
          <cell r="A610" t="str">
            <v>R5770</v>
          </cell>
          <cell r="AJ610">
            <v>5</v>
          </cell>
        </row>
        <row r="611">
          <cell r="A611" t="str">
            <v>R5771</v>
          </cell>
          <cell r="AJ611">
            <v>1</v>
          </cell>
        </row>
        <row r="612">
          <cell r="A612" t="str">
            <v>R5777</v>
          </cell>
          <cell r="AJ612">
            <v>1</v>
          </cell>
        </row>
        <row r="613">
          <cell r="A613" t="str">
            <v>R5778</v>
          </cell>
          <cell r="AJ613">
            <v>8</v>
          </cell>
        </row>
        <row r="614">
          <cell r="A614" t="str">
            <v>R6028</v>
          </cell>
          <cell r="AJ614">
            <v>10</v>
          </cell>
        </row>
        <row r="615">
          <cell r="A615" t="str">
            <v>R6029</v>
          </cell>
          <cell r="AJ615">
            <v>15</v>
          </cell>
        </row>
        <row r="616">
          <cell r="A616" t="str">
            <v>R6078</v>
          </cell>
          <cell r="AJ616">
            <v>4</v>
          </cell>
        </row>
        <row r="617">
          <cell r="A617" t="str">
            <v>R6079</v>
          </cell>
          <cell r="AJ617">
            <v>2</v>
          </cell>
        </row>
        <row r="618">
          <cell r="A618" t="str">
            <v>R6080</v>
          </cell>
          <cell r="AJ618">
            <v>6</v>
          </cell>
        </row>
        <row r="619">
          <cell r="A619" t="str">
            <v>R6081</v>
          </cell>
          <cell r="AJ619">
            <v>12</v>
          </cell>
        </row>
        <row r="620">
          <cell r="A620" t="str">
            <v>R6082</v>
          </cell>
          <cell r="AJ620">
            <v>2</v>
          </cell>
        </row>
        <row r="621">
          <cell r="A621" t="str">
            <v>R6212</v>
          </cell>
        </row>
        <row r="622">
          <cell r="A622" t="str">
            <v>R6226</v>
          </cell>
        </row>
        <row r="623">
          <cell r="A623" t="str">
            <v>R6228</v>
          </cell>
        </row>
        <row r="624">
          <cell r="A624" t="str">
            <v>R6230</v>
          </cell>
        </row>
        <row r="625">
          <cell r="A625" t="str">
            <v>R6232</v>
          </cell>
        </row>
        <row r="626">
          <cell r="A626" t="str">
            <v>R6234</v>
          </cell>
        </row>
        <row r="627">
          <cell r="A627" t="str">
            <v>R6236</v>
          </cell>
        </row>
        <row r="628">
          <cell r="A628" t="str">
            <v>R6238</v>
          </cell>
        </row>
        <row r="629">
          <cell r="A629" t="str">
            <v>R6240</v>
          </cell>
        </row>
        <row r="630">
          <cell r="A630" t="str">
            <v>R6242</v>
          </cell>
        </row>
        <row r="631">
          <cell r="A631" t="str">
            <v>R6244</v>
          </cell>
        </row>
        <row r="632">
          <cell r="A632" t="str">
            <v>R6247</v>
          </cell>
        </row>
        <row r="633">
          <cell r="A633" t="str">
            <v>R6343</v>
          </cell>
        </row>
        <row r="634">
          <cell r="A634" t="str">
            <v>R6344</v>
          </cell>
        </row>
        <row r="635">
          <cell r="A635" t="str">
            <v>R6545</v>
          </cell>
          <cell r="AJ635">
            <v>20</v>
          </cell>
        </row>
        <row r="636">
          <cell r="A636" t="str">
            <v>R6570</v>
          </cell>
          <cell r="AJ636">
            <v>16</v>
          </cell>
        </row>
        <row r="637">
          <cell r="A637" t="str">
            <v>R6571</v>
          </cell>
        </row>
        <row r="638">
          <cell r="A638" t="str">
            <v>R6572</v>
          </cell>
          <cell r="AJ638">
            <v>14</v>
          </cell>
        </row>
        <row r="639">
          <cell r="A639" t="str">
            <v>R6573</v>
          </cell>
          <cell r="AJ639">
            <v>15</v>
          </cell>
        </row>
        <row r="640">
          <cell r="A640" t="str">
            <v>R6574</v>
          </cell>
          <cell r="AJ640">
            <v>20</v>
          </cell>
        </row>
        <row r="641">
          <cell r="A641" t="str">
            <v>R6575</v>
          </cell>
          <cell r="AJ641">
            <v>30</v>
          </cell>
        </row>
        <row r="642">
          <cell r="A642" t="str">
            <v>R6576</v>
          </cell>
          <cell r="AJ642">
            <v>13</v>
          </cell>
        </row>
        <row r="643">
          <cell r="A643" t="str">
            <v>R6577</v>
          </cell>
          <cell r="AJ643">
            <v>10</v>
          </cell>
        </row>
        <row r="644">
          <cell r="A644" t="str">
            <v>R6579</v>
          </cell>
          <cell r="AJ644">
            <v>6</v>
          </cell>
        </row>
        <row r="645">
          <cell r="A645" t="str">
            <v>R6607</v>
          </cell>
          <cell r="AJ645">
            <v>25</v>
          </cell>
        </row>
        <row r="646">
          <cell r="A646" t="str">
            <v>R6680</v>
          </cell>
        </row>
        <row r="647">
          <cell r="A647" t="str">
            <v>R6681</v>
          </cell>
        </row>
        <row r="648">
          <cell r="A648" t="str">
            <v>R6684</v>
          </cell>
          <cell r="AJ648">
            <v>1</v>
          </cell>
        </row>
        <row r="649">
          <cell r="A649" t="str">
            <v>R6685</v>
          </cell>
          <cell r="AJ649">
            <v>2</v>
          </cell>
        </row>
        <row r="650">
          <cell r="A650" t="str">
            <v>R6686</v>
          </cell>
          <cell r="AJ650">
            <v>3</v>
          </cell>
        </row>
        <row r="651">
          <cell r="A651" t="str">
            <v>R6687</v>
          </cell>
          <cell r="AJ651">
            <v>2</v>
          </cell>
        </row>
        <row r="652">
          <cell r="A652" t="str">
            <v>R6688</v>
          </cell>
          <cell r="AJ652">
            <v>2</v>
          </cell>
        </row>
        <row r="653">
          <cell r="A653" t="str">
            <v>R6689</v>
          </cell>
          <cell r="AJ653">
            <v>5</v>
          </cell>
        </row>
        <row r="654">
          <cell r="A654" t="str">
            <v>R6690</v>
          </cell>
          <cell r="AJ654">
            <v>3</v>
          </cell>
        </row>
        <row r="655">
          <cell r="A655" t="str">
            <v>R6691</v>
          </cell>
          <cell r="AJ655">
            <v>9</v>
          </cell>
        </row>
        <row r="656">
          <cell r="A656" t="str">
            <v>R6699</v>
          </cell>
          <cell r="AJ656">
            <v>13</v>
          </cell>
        </row>
        <row r="657">
          <cell r="A657" t="str">
            <v>R6700</v>
          </cell>
          <cell r="AJ657">
            <v>16</v>
          </cell>
        </row>
        <row r="658">
          <cell r="A658" t="str">
            <v>R6701</v>
          </cell>
          <cell r="AJ658">
            <v>5</v>
          </cell>
        </row>
        <row r="659">
          <cell r="A659" t="str">
            <v>R6702</v>
          </cell>
        </row>
        <row r="660">
          <cell r="A660" t="str">
            <v>R6703</v>
          </cell>
        </row>
        <row r="661">
          <cell r="A661" t="str">
            <v>R6704</v>
          </cell>
          <cell r="AJ661">
            <v>2</v>
          </cell>
        </row>
        <row r="662">
          <cell r="A662" t="str">
            <v>R6705</v>
          </cell>
        </row>
        <row r="663">
          <cell r="A663" t="str">
            <v>R6706</v>
          </cell>
        </row>
        <row r="664">
          <cell r="A664" t="str">
            <v>R6707</v>
          </cell>
        </row>
        <row r="665">
          <cell r="A665" t="str">
            <v>R6708</v>
          </cell>
          <cell r="AJ665">
            <v>2</v>
          </cell>
        </row>
        <row r="666">
          <cell r="A666" t="str">
            <v>R6709</v>
          </cell>
        </row>
        <row r="667">
          <cell r="A667" t="str">
            <v>R6755</v>
          </cell>
          <cell r="AJ667">
            <v>17</v>
          </cell>
        </row>
        <row r="668">
          <cell r="A668" t="str">
            <v>R6757</v>
          </cell>
        </row>
        <row r="669">
          <cell r="A669" t="str">
            <v>R6758</v>
          </cell>
        </row>
        <row r="670">
          <cell r="A670" t="str">
            <v>R6759</v>
          </cell>
          <cell r="AJ670">
            <v>20</v>
          </cell>
        </row>
        <row r="671">
          <cell r="A671" t="str">
            <v>R6760</v>
          </cell>
          <cell r="AJ671">
            <v>10</v>
          </cell>
        </row>
        <row r="672">
          <cell r="A672" t="str">
            <v>R6761</v>
          </cell>
          <cell r="AJ672">
            <v>30</v>
          </cell>
        </row>
        <row r="673">
          <cell r="A673" t="str">
            <v>R6772</v>
          </cell>
        </row>
        <row r="674">
          <cell r="A674" t="str">
            <v>R6803</v>
          </cell>
          <cell r="AJ674">
            <v>11</v>
          </cell>
        </row>
        <row r="675">
          <cell r="A675" t="str">
            <v>R6854</v>
          </cell>
        </row>
        <row r="676">
          <cell r="A676" t="str">
            <v>R6856</v>
          </cell>
        </row>
        <row r="677">
          <cell r="A677" t="str">
            <v>R6857</v>
          </cell>
        </row>
        <row r="678">
          <cell r="A678" t="str">
            <v>R6858</v>
          </cell>
          <cell r="AJ678">
            <v>3</v>
          </cell>
        </row>
        <row r="679">
          <cell r="A679" t="str">
            <v>R6859</v>
          </cell>
          <cell r="AJ679">
            <v>5</v>
          </cell>
        </row>
        <row r="680">
          <cell r="A680" t="str">
            <v>R6860</v>
          </cell>
        </row>
        <row r="681">
          <cell r="A681" t="str">
            <v>R6861</v>
          </cell>
        </row>
        <row r="682">
          <cell r="A682" t="str">
            <v>R6862</v>
          </cell>
        </row>
        <row r="683">
          <cell r="A683" t="str">
            <v>R6863</v>
          </cell>
        </row>
        <row r="684">
          <cell r="A684" t="str">
            <v>R6865</v>
          </cell>
        </row>
        <row r="685">
          <cell r="A685" t="str">
            <v>R6867</v>
          </cell>
          <cell r="AJ685">
            <v>43</v>
          </cell>
        </row>
        <row r="686">
          <cell r="A686" t="str">
            <v>R6868</v>
          </cell>
        </row>
        <row r="687">
          <cell r="A687" t="str">
            <v>R6869</v>
          </cell>
        </row>
        <row r="688">
          <cell r="A688" t="str">
            <v>R6870</v>
          </cell>
          <cell r="AJ688">
            <v>1</v>
          </cell>
        </row>
        <row r="689">
          <cell r="A689" t="str">
            <v>R6873</v>
          </cell>
        </row>
        <row r="690">
          <cell r="A690" t="str">
            <v>R6893</v>
          </cell>
          <cell r="AJ690">
            <v>5</v>
          </cell>
        </row>
        <row r="691">
          <cell r="A691" t="str">
            <v>R6894</v>
          </cell>
          <cell r="AJ691">
            <v>4</v>
          </cell>
        </row>
        <row r="692">
          <cell r="A692" t="str">
            <v>R6895</v>
          </cell>
        </row>
        <row r="693">
          <cell r="A693" t="str">
            <v>R6896</v>
          </cell>
          <cell r="AJ693">
            <v>10</v>
          </cell>
        </row>
        <row r="694">
          <cell r="A694" t="str">
            <v>R6897</v>
          </cell>
          <cell r="AJ694">
            <v>4</v>
          </cell>
        </row>
        <row r="695">
          <cell r="A695" t="str">
            <v>R6898</v>
          </cell>
          <cell r="AJ695">
            <v>5</v>
          </cell>
        </row>
        <row r="696">
          <cell r="A696" t="str">
            <v>R6899</v>
          </cell>
          <cell r="AJ696">
            <v>10</v>
          </cell>
        </row>
        <row r="697">
          <cell r="A697" t="str">
            <v>R6900</v>
          </cell>
          <cell r="AJ697">
            <v>6</v>
          </cell>
        </row>
        <row r="698">
          <cell r="A698" t="str">
            <v>R6901</v>
          </cell>
          <cell r="AJ698">
            <v>8</v>
          </cell>
        </row>
        <row r="699">
          <cell r="A699" t="str">
            <v>R6925</v>
          </cell>
        </row>
        <row r="700">
          <cell r="A700" t="str">
            <v>R6926</v>
          </cell>
          <cell r="AJ700">
            <v>6</v>
          </cell>
        </row>
        <row r="701">
          <cell r="A701" t="str">
            <v>R6927</v>
          </cell>
        </row>
        <row r="702">
          <cell r="A702" t="str">
            <v>R6928</v>
          </cell>
        </row>
        <row r="703">
          <cell r="A703" t="str">
            <v>R6929</v>
          </cell>
          <cell r="AJ703">
            <v>11</v>
          </cell>
        </row>
        <row r="704">
          <cell r="A704" t="str">
            <v>R6930</v>
          </cell>
          <cell r="AJ704">
            <v>10</v>
          </cell>
        </row>
        <row r="705">
          <cell r="A705" t="str">
            <v>R6931</v>
          </cell>
          <cell r="AJ705">
            <v>10</v>
          </cell>
        </row>
        <row r="706">
          <cell r="A706" t="str">
            <v>R6932</v>
          </cell>
          <cell r="AJ706">
            <v>7</v>
          </cell>
        </row>
        <row r="707">
          <cell r="A707" t="str">
            <v>R6933</v>
          </cell>
          <cell r="AJ707">
            <v>3</v>
          </cell>
        </row>
        <row r="708">
          <cell r="A708" t="str">
            <v>R6934</v>
          </cell>
          <cell r="AJ708">
            <v>6</v>
          </cell>
        </row>
        <row r="709">
          <cell r="A709" t="str">
            <v>R6935</v>
          </cell>
          <cell r="AJ709">
            <v>57</v>
          </cell>
        </row>
        <row r="710">
          <cell r="A710" t="str">
            <v>R6936</v>
          </cell>
          <cell r="AJ710">
            <v>7</v>
          </cell>
        </row>
        <row r="711">
          <cell r="A711" t="str">
            <v>R6937</v>
          </cell>
          <cell r="AJ711">
            <v>20</v>
          </cell>
        </row>
        <row r="712">
          <cell r="A712" t="str">
            <v>R6938</v>
          </cell>
          <cell r="AJ712">
            <v>15</v>
          </cell>
        </row>
        <row r="713">
          <cell r="A713" t="str">
            <v>R6939</v>
          </cell>
          <cell r="AJ713">
            <v>10</v>
          </cell>
        </row>
        <row r="714">
          <cell r="A714" t="str">
            <v>R6940</v>
          </cell>
          <cell r="AJ714">
            <v>8</v>
          </cell>
        </row>
        <row r="715">
          <cell r="A715" t="str">
            <v>R6941</v>
          </cell>
          <cell r="AJ715">
            <v>6</v>
          </cell>
        </row>
        <row r="716">
          <cell r="A716" t="str">
            <v>R6942</v>
          </cell>
          <cell r="AJ716">
            <v>3</v>
          </cell>
        </row>
        <row r="717">
          <cell r="A717" t="str">
            <v>R6956</v>
          </cell>
        </row>
        <row r="718">
          <cell r="A718" t="str">
            <v>R6957</v>
          </cell>
          <cell r="AJ718">
            <v>14</v>
          </cell>
        </row>
        <row r="719">
          <cell r="A719" t="str">
            <v>TOTAL GENERAL</v>
          </cell>
          <cell r="AJ719">
            <v>6579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29"/>
  <sheetViews>
    <sheetView workbookViewId="0">
      <selection activeCell="J363" sqref="J363"/>
    </sheetView>
  </sheetViews>
  <sheetFormatPr baseColWidth="10" defaultColWidth="8.7265625" defaultRowHeight="14.5" x14ac:dyDescent="0.35"/>
  <cols>
    <col min="1" max="1" width="12" customWidth="1"/>
    <col min="2" max="2" width="40" customWidth="1"/>
    <col min="3" max="4" width="20" customWidth="1"/>
    <col min="5" max="5" width="12" customWidth="1"/>
    <col min="6" max="6" width="14" customWidth="1"/>
    <col min="7" max="8" width="12" customWidth="1"/>
  </cols>
  <sheetData>
    <row r="1" spans="1:11" x14ac:dyDescent="0.35">
      <c r="G1" s="3">
        <f>SUM(G3:G928)</f>
        <v>252026570</v>
      </c>
    </row>
    <row r="2" spans="1:1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1" hidden="1" x14ac:dyDescent="0.35">
      <c r="A3" t="s">
        <v>8</v>
      </c>
      <c r="B3" t="s">
        <v>9</v>
      </c>
      <c r="C3" t="s">
        <v>10</v>
      </c>
      <c r="D3" t="s">
        <v>11</v>
      </c>
      <c r="E3">
        <v>0</v>
      </c>
      <c r="F3">
        <v>34990</v>
      </c>
      <c r="G3">
        <f>F3*E3</f>
        <v>0</v>
      </c>
      <c r="H3">
        <f t="shared" ref="H3:H66" si="0">E3-G3</f>
        <v>0</v>
      </c>
      <c r="I3">
        <f>_xlfn.XLOOKUP(A3,'[1]Forecast 2026'!$A:$A,'[1]Forecast 2026'!$AJ:$AJ,"NA",0,1)</f>
        <v>0</v>
      </c>
      <c r="J3">
        <f>IFERROR(E3-I3,"")</f>
        <v>0</v>
      </c>
      <c r="K3">
        <f>F3*H3</f>
        <v>0</v>
      </c>
    </row>
    <row r="4" spans="1:11" hidden="1" x14ac:dyDescent="0.35">
      <c r="A4" t="s">
        <v>12</v>
      </c>
      <c r="B4" t="s">
        <v>13</v>
      </c>
      <c r="C4" t="s">
        <v>10</v>
      </c>
      <c r="D4" t="s">
        <v>14</v>
      </c>
      <c r="E4">
        <v>512</v>
      </c>
      <c r="F4">
        <v>24990</v>
      </c>
      <c r="G4">
        <f t="shared" ref="G4:G67" si="1">F4*E4</f>
        <v>12794880</v>
      </c>
      <c r="H4">
        <f t="shared" si="0"/>
        <v>-12794368</v>
      </c>
      <c r="I4">
        <f>_xlfn.XLOOKUP(A4,'[1]Forecast 2026'!$A:$A,'[1]Forecast 2026'!$AJ:$AJ,"NA",0,1)</f>
        <v>512</v>
      </c>
      <c r="J4">
        <f t="shared" ref="J4:J67" si="2">IFERROR(E4-I4,"")</f>
        <v>0</v>
      </c>
    </row>
    <row r="5" spans="1:11" hidden="1" x14ac:dyDescent="0.35">
      <c r="A5" t="s">
        <v>15</v>
      </c>
      <c r="B5" t="s">
        <v>16</v>
      </c>
      <c r="C5" t="s">
        <v>10</v>
      </c>
      <c r="D5" t="s">
        <v>14</v>
      </c>
      <c r="E5">
        <v>0</v>
      </c>
      <c r="F5">
        <v>19990</v>
      </c>
      <c r="G5">
        <f t="shared" si="1"/>
        <v>0</v>
      </c>
      <c r="H5">
        <f t="shared" si="0"/>
        <v>0</v>
      </c>
      <c r="I5">
        <f>_xlfn.XLOOKUP(A5,'[1]Forecast 2026'!$A:$A,'[1]Forecast 2026'!$AJ:$AJ,"NA",0,1)</f>
        <v>0</v>
      </c>
      <c r="J5">
        <f t="shared" si="2"/>
        <v>0</v>
      </c>
    </row>
    <row r="6" spans="1:11" hidden="1" x14ac:dyDescent="0.35">
      <c r="A6" t="s">
        <v>17</v>
      </c>
      <c r="B6" t="s">
        <v>18</v>
      </c>
      <c r="C6" t="s">
        <v>10</v>
      </c>
      <c r="D6" t="s">
        <v>14</v>
      </c>
      <c r="E6">
        <v>0</v>
      </c>
      <c r="F6">
        <v>34990</v>
      </c>
      <c r="G6">
        <f t="shared" si="1"/>
        <v>0</v>
      </c>
      <c r="H6">
        <f t="shared" si="0"/>
        <v>0</v>
      </c>
      <c r="I6">
        <f>_xlfn.XLOOKUP(A6,'[1]Forecast 2026'!$A:$A,'[1]Forecast 2026'!$AJ:$AJ,"NA",0,1)</f>
        <v>0</v>
      </c>
      <c r="J6">
        <f t="shared" si="2"/>
        <v>0</v>
      </c>
    </row>
    <row r="7" spans="1:11" hidden="1" x14ac:dyDescent="0.35">
      <c r="A7" t="s">
        <v>19</v>
      </c>
      <c r="B7" t="s">
        <v>20</v>
      </c>
      <c r="C7" t="s">
        <v>10</v>
      </c>
      <c r="D7" t="s">
        <v>14</v>
      </c>
      <c r="E7">
        <v>0</v>
      </c>
      <c r="F7">
        <v>24990</v>
      </c>
      <c r="G7">
        <f t="shared" si="1"/>
        <v>0</v>
      </c>
      <c r="H7">
        <f t="shared" si="0"/>
        <v>0</v>
      </c>
      <c r="I7">
        <f>_xlfn.XLOOKUP(A7,'[1]Forecast 2026'!$A:$A,'[1]Forecast 2026'!$AJ:$AJ,"NA",0,1)</f>
        <v>0</v>
      </c>
      <c r="J7">
        <f t="shared" si="2"/>
        <v>0</v>
      </c>
    </row>
    <row r="8" spans="1:11" hidden="1" x14ac:dyDescent="0.35">
      <c r="A8" t="s">
        <v>21</v>
      </c>
      <c r="B8" t="s">
        <v>22</v>
      </c>
      <c r="C8" t="s">
        <v>10</v>
      </c>
      <c r="D8" t="s">
        <v>14</v>
      </c>
      <c r="E8">
        <v>0</v>
      </c>
      <c r="F8">
        <v>42990</v>
      </c>
      <c r="G8">
        <f t="shared" si="1"/>
        <v>0</v>
      </c>
      <c r="H8">
        <f t="shared" si="0"/>
        <v>0</v>
      </c>
      <c r="I8">
        <f>_xlfn.XLOOKUP(A8,'[1]Forecast 2026'!$A:$A,'[1]Forecast 2026'!$AJ:$AJ,"NA",0,1)</f>
        <v>0</v>
      </c>
      <c r="J8">
        <f t="shared" si="2"/>
        <v>0</v>
      </c>
    </row>
    <row r="9" spans="1:11" hidden="1" x14ac:dyDescent="0.35">
      <c r="A9" t="s">
        <v>23</v>
      </c>
      <c r="B9" t="s">
        <v>24</v>
      </c>
      <c r="C9" t="s">
        <v>10</v>
      </c>
      <c r="D9" t="s">
        <v>14</v>
      </c>
      <c r="E9">
        <v>0</v>
      </c>
      <c r="F9">
        <v>44990</v>
      </c>
      <c r="G9">
        <f t="shared" si="1"/>
        <v>0</v>
      </c>
      <c r="H9">
        <f t="shared" si="0"/>
        <v>0</v>
      </c>
      <c r="I9">
        <f>_xlfn.XLOOKUP(A9,'[1]Forecast 2026'!$A:$A,'[1]Forecast 2026'!$AJ:$AJ,"NA",0,1)</f>
        <v>0</v>
      </c>
      <c r="J9">
        <f t="shared" si="2"/>
        <v>0</v>
      </c>
    </row>
    <row r="10" spans="1:11" hidden="1" x14ac:dyDescent="0.35">
      <c r="A10" t="s">
        <v>25</v>
      </c>
      <c r="B10" t="s">
        <v>26</v>
      </c>
      <c r="C10" t="s">
        <v>10</v>
      </c>
      <c r="D10" t="s">
        <v>14</v>
      </c>
      <c r="E10">
        <v>30</v>
      </c>
      <c r="F10">
        <v>21990</v>
      </c>
      <c r="G10">
        <f t="shared" si="1"/>
        <v>659700</v>
      </c>
      <c r="H10">
        <f t="shared" si="0"/>
        <v>-659670</v>
      </c>
      <c r="I10">
        <f>_xlfn.XLOOKUP(A10,'[1]Forecast 2026'!$A:$A,'[1]Forecast 2026'!$AJ:$AJ,"NA",0,1)</f>
        <v>30</v>
      </c>
      <c r="J10">
        <f t="shared" si="2"/>
        <v>0</v>
      </c>
    </row>
    <row r="11" spans="1:11" hidden="1" x14ac:dyDescent="0.35">
      <c r="A11" t="s">
        <v>27</v>
      </c>
      <c r="B11" t="s">
        <v>28</v>
      </c>
      <c r="C11" t="s">
        <v>10</v>
      </c>
      <c r="D11" t="s">
        <v>11</v>
      </c>
      <c r="E11">
        <v>12</v>
      </c>
      <c r="F11">
        <v>19980</v>
      </c>
      <c r="G11">
        <f t="shared" si="1"/>
        <v>239760</v>
      </c>
      <c r="H11">
        <f t="shared" si="0"/>
        <v>-239748</v>
      </c>
      <c r="I11">
        <f>_xlfn.XLOOKUP(A11,'[1]Forecast 2026'!$A:$A,'[1]Forecast 2026'!$AJ:$AJ,"NA",0,1)</f>
        <v>12</v>
      </c>
      <c r="J11">
        <f t="shared" si="2"/>
        <v>0</v>
      </c>
    </row>
    <row r="12" spans="1:11" hidden="1" x14ac:dyDescent="0.35">
      <c r="A12" t="s">
        <v>29</v>
      </c>
      <c r="B12" t="s">
        <v>30</v>
      </c>
      <c r="C12" t="s">
        <v>10</v>
      </c>
      <c r="D12" t="s">
        <v>14</v>
      </c>
      <c r="E12">
        <v>0</v>
      </c>
      <c r="F12">
        <v>54990</v>
      </c>
      <c r="G12">
        <f t="shared" si="1"/>
        <v>0</v>
      </c>
      <c r="H12">
        <f t="shared" si="0"/>
        <v>0</v>
      </c>
      <c r="I12">
        <f>_xlfn.XLOOKUP(A12,'[1]Forecast 2026'!$A:$A,'[1]Forecast 2026'!$AJ:$AJ,"NA",0,1)</f>
        <v>0</v>
      </c>
      <c r="J12">
        <f t="shared" si="2"/>
        <v>0</v>
      </c>
    </row>
    <row r="13" spans="1:11" hidden="1" x14ac:dyDescent="0.35">
      <c r="A13" t="s">
        <v>31</v>
      </c>
      <c r="B13" t="s">
        <v>32</v>
      </c>
      <c r="C13" t="s">
        <v>10</v>
      </c>
      <c r="D13" t="s">
        <v>14</v>
      </c>
      <c r="E13">
        <v>0</v>
      </c>
      <c r="F13">
        <v>59990</v>
      </c>
      <c r="G13">
        <f t="shared" si="1"/>
        <v>0</v>
      </c>
      <c r="H13">
        <f t="shared" si="0"/>
        <v>0</v>
      </c>
      <c r="I13">
        <f>_xlfn.XLOOKUP(A13,'[1]Forecast 2026'!$A:$A,'[1]Forecast 2026'!$AJ:$AJ,"NA",0,1)</f>
        <v>0</v>
      </c>
      <c r="J13">
        <f t="shared" si="2"/>
        <v>0</v>
      </c>
    </row>
    <row r="14" spans="1:11" hidden="1" x14ac:dyDescent="0.35">
      <c r="A14" t="s">
        <v>33</v>
      </c>
      <c r="B14" t="s">
        <v>34</v>
      </c>
      <c r="C14" t="s">
        <v>10</v>
      </c>
      <c r="D14" t="s">
        <v>14</v>
      </c>
      <c r="E14">
        <v>0</v>
      </c>
      <c r="F14">
        <v>64990</v>
      </c>
      <c r="G14">
        <f t="shared" si="1"/>
        <v>0</v>
      </c>
      <c r="H14">
        <f t="shared" si="0"/>
        <v>0</v>
      </c>
      <c r="I14">
        <f>_xlfn.XLOOKUP(A14,'[1]Forecast 2026'!$A:$A,'[1]Forecast 2026'!$AJ:$AJ,"NA",0,1)</f>
        <v>0</v>
      </c>
      <c r="J14">
        <f t="shared" si="2"/>
        <v>0</v>
      </c>
    </row>
    <row r="15" spans="1:11" hidden="1" x14ac:dyDescent="0.35">
      <c r="A15" t="s">
        <v>35</v>
      </c>
      <c r="B15" t="s">
        <v>36</v>
      </c>
      <c r="C15" t="s">
        <v>10</v>
      </c>
      <c r="D15" t="s">
        <v>14</v>
      </c>
      <c r="E15">
        <v>15</v>
      </c>
      <c r="F15">
        <v>17990</v>
      </c>
      <c r="G15">
        <f t="shared" si="1"/>
        <v>269850</v>
      </c>
      <c r="H15">
        <f t="shared" si="0"/>
        <v>-269835</v>
      </c>
      <c r="I15">
        <f>_xlfn.XLOOKUP(A15,'[1]Forecast 2026'!$A:$A,'[1]Forecast 2026'!$AJ:$AJ,"NA",0,1)</f>
        <v>15</v>
      </c>
      <c r="J15">
        <f t="shared" si="2"/>
        <v>0</v>
      </c>
    </row>
    <row r="16" spans="1:11" hidden="1" x14ac:dyDescent="0.35">
      <c r="A16" t="s">
        <v>37</v>
      </c>
      <c r="B16" t="s">
        <v>38</v>
      </c>
      <c r="C16" t="s">
        <v>39</v>
      </c>
      <c r="D16" t="s">
        <v>40</v>
      </c>
      <c r="E16">
        <v>3</v>
      </c>
      <c r="F16">
        <v>214990</v>
      </c>
      <c r="G16">
        <f t="shared" si="1"/>
        <v>644970</v>
      </c>
      <c r="H16">
        <f t="shared" si="0"/>
        <v>-644967</v>
      </c>
      <c r="I16">
        <f>_xlfn.XLOOKUP(A16,'[1]Forecast 2026'!$A:$A,'[1]Forecast 2026'!$AJ:$AJ,"NA",0,1)</f>
        <v>3</v>
      </c>
      <c r="J16">
        <f t="shared" si="2"/>
        <v>0</v>
      </c>
    </row>
    <row r="17" spans="1:10" hidden="1" x14ac:dyDescent="0.35">
      <c r="A17" t="s">
        <v>41</v>
      </c>
      <c r="B17" t="s">
        <v>42</v>
      </c>
      <c r="C17" t="s">
        <v>39</v>
      </c>
      <c r="D17" t="s">
        <v>40</v>
      </c>
      <c r="E17">
        <v>9</v>
      </c>
      <c r="F17">
        <v>169990</v>
      </c>
      <c r="G17">
        <f t="shared" si="1"/>
        <v>1529910</v>
      </c>
      <c r="H17">
        <f t="shared" si="0"/>
        <v>-1529901</v>
      </c>
      <c r="I17">
        <f>_xlfn.XLOOKUP(A17,'[1]Forecast 2026'!$A:$A,'[1]Forecast 2026'!$AJ:$AJ,"NA",0,1)</f>
        <v>9</v>
      </c>
      <c r="J17">
        <f t="shared" si="2"/>
        <v>0</v>
      </c>
    </row>
    <row r="18" spans="1:10" hidden="1" x14ac:dyDescent="0.35">
      <c r="A18" t="s">
        <v>43</v>
      </c>
      <c r="B18" t="s">
        <v>44</v>
      </c>
      <c r="C18" t="s">
        <v>39</v>
      </c>
      <c r="D18" t="s">
        <v>45</v>
      </c>
      <c r="E18">
        <v>0</v>
      </c>
      <c r="F18">
        <v>59990</v>
      </c>
      <c r="G18">
        <f t="shared" si="1"/>
        <v>0</v>
      </c>
      <c r="H18">
        <f t="shared" si="0"/>
        <v>0</v>
      </c>
      <c r="I18">
        <f>_xlfn.XLOOKUP(A18,'[1]Forecast 2026'!$A:$A,'[1]Forecast 2026'!$AJ:$AJ,"NA",0,1)</f>
        <v>0</v>
      </c>
      <c r="J18">
        <f t="shared" si="2"/>
        <v>0</v>
      </c>
    </row>
    <row r="19" spans="1:10" hidden="1" x14ac:dyDescent="0.35">
      <c r="A19" t="s">
        <v>46</v>
      </c>
      <c r="B19" t="s">
        <v>47</v>
      </c>
      <c r="C19" t="s">
        <v>39</v>
      </c>
      <c r="D19" t="s">
        <v>48</v>
      </c>
      <c r="E19">
        <v>40</v>
      </c>
      <c r="F19">
        <v>8990</v>
      </c>
      <c r="G19">
        <f t="shared" si="1"/>
        <v>359600</v>
      </c>
      <c r="H19">
        <f t="shared" si="0"/>
        <v>-359560</v>
      </c>
      <c r="I19">
        <f>_xlfn.XLOOKUP(A19,'[1]Forecast 2026'!$A:$A,'[1]Forecast 2026'!$AJ:$AJ,"NA",0,1)</f>
        <v>40</v>
      </c>
      <c r="J19">
        <f t="shared" si="2"/>
        <v>0</v>
      </c>
    </row>
    <row r="20" spans="1:10" hidden="1" x14ac:dyDescent="0.35">
      <c r="A20" t="s">
        <v>49</v>
      </c>
      <c r="B20" t="s">
        <v>50</v>
      </c>
      <c r="C20" t="s">
        <v>39</v>
      </c>
      <c r="D20" t="s">
        <v>48</v>
      </c>
      <c r="E20">
        <v>100</v>
      </c>
      <c r="F20">
        <v>16990</v>
      </c>
      <c r="G20">
        <f t="shared" si="1"/>
        <v>1699000</v>
      </c>
      <c r="H20">
        <f t="shared" si="0"/>
        <v>-1698900</v>
      </c>
      <c r="I20">
        <f>_xlfn.XLOOKUP(A20,'[1]Forecast 2026'!$A:$A,'[1]Forecast 2026'!$AJ:$AJ,"NA",0,1)</f>
        <v>100</v>
      </c>
      <c r="J20">
        <f t="shared" si="2"/>
        <v>0</v>
      </c>
    </row>
    <row r="21" spans="1:10" hidden="1" x14ac:dyDescent="0.35">
      <c r="A21" t="s">
        <v>51</v>
      </c>
      <c r="B21" t="s">
        <v>52</v>
      </c>
      <c r="C21" t="s">
        <v>39</v>
      </c>
      <c r="D21" t="s">
        <v>48</v>
      </c>
      <c r="E21">
        <v>1</v>
      </c>
      <c r="F21">
        <v>0</v>
      </c>
      <c r="G21">
        <f t="shared" si="1"/>
        <v>0</v>
      </c>
      <c r="H21">
        <f t="shared" si="0"/>
        <v>1</v>
      </c>
      <c r="I21">
        <f>_xlfn.XLOOKUP(A21,'[1]Forecast 2026'!$A:$A,'[1]Forecast 2026'!$AJ:$AJ,"NA",0,1)</f>
        <v>1</v>
      </c>
      <c r="J21">
        <f t="shared" si="2"/>
        <v>0</v>
      </c>
    </row>
    <row r="22" spans="1:10" hidden="1" x14ac:dyDescent="0.35">
      <c r="A22" t="s">
        <v>53</v>
      </c>
      <c r="B22" t="s">
        <v>54</v>
      </c>
      <c r="C22" t="s">
        <v>39</v>
      </c>
      <c r="D22" t="s">
        <v>48</v>
      </c>
      <c r="E22">
        <v>1</v>
      </c>
      <c r="F22">
        <v>0</v>
      </c>
      <c r="G22">
        <f t="shared" si="1"/>
        <v>0</v>
      </c>
      <c r="H22">
        <f t="shared" si="0"/>
        <v>1</v>
      </c>
      <c r="I22">
        <f>_xlfn.XLOOKUP(A22,'[1]Forecast 2026'!$A:$A,'[1]Forecast 2026'!$AJ:$AJ,"NA",0,1)</f>
        <v>1</v>
      </c>
      <c r="J22">
        <f t="shared" si="2"/>
        <v>0</v>
      </c>
    </row>
    <row r="23" spans="1:10" hidden="1" x14ac:dyDescent="0.35">
      <c r="A23" t="s">
        <v>55</v>
      </c>
      <c r="B23" t="s">
        <v>56</v>
      </c>
      <c r="C23" t="s">
        <v>39</v>
      </c>
      <c r="D23" t="s">
        <v>48</v>
      </c>
      <c r="E23">
        <v>1</v>
      </c>
      <c r="F23">
        <v>0</v>
      </c>
      <c r="G23">
        <f t="shared" si="1"/>
        <v>0</v>
      </c>
      <c r="H23">
        <f t="shared" si="0"/>
        <v>1</v>
      </c>
      <c r="I23">
        <f>_xlfn.XLOOKUP(A23,'[1]Forecast 2026'!$A:$A,'[1]Forecast 2026'!$AJ:$AJ,"NA",0,1)</f>
        <v>1</v>
      </c>
      <c r="J23">
        <f t="shared" si="2"/>
        <v>0</v>
      </c>
    </row>
    <row r="24" spans="1:10" hidden="1" x14ac:dyDescent="0.35">
      <c r="A24" t="s">
        <v>57</v>
      </c>
      <c r="B24" t="s">
        <v>58</v>
      </c>
      <c r="C24" t="s">
        <v>39</v>
      </c>
      <c r="D24" t="s">
        <v>48</v>
      </c>
      <c r="E24">
        <v>1</v>
      </c>
      <c r="F24">
        <v>0</v>
      </c>
      <c r="G24">
        <f t="shared" si="1"/>
        <v>0</v>
      </c>
      <c r="H24">
        <f t="shared" si="0"/>
        <v>1</v>
      </c>
      <c r="I24">
        <f>_xlfn.XLOOKUP(A24,'[1]Forecast 2026'!$A:$A,'[1]Forecast 2026'!$AJ:$AJ,"NA",0,1)</f>
        <v>1</v>
      </c>
      <c r="J24">
        <f t="shared" si="2"/>
        <v>0</v>
      </c>
    </row>
    <row r="25" spans="1:10" hidden="1" x14ac:dyDescent="0.35">
      <c r="A25" t="s">
        <v>59</v>
      </c>
      <c r="B25" t="s">
        <v>60</v>
      </c>
      <c r="C25" t="s">
        <v>39</v>
      </c>
      <c r="D25" t="s">
        <v>40</v>
      </c>
      <c r="E25">
        <v>1</v>
      </c>
      <c r="F25">
        <v>359990</v>
      </c>
      <c r="G25">
        <f t="shared" si="1"/>
        <v>359990</v>
      </c>
      <c r="H25">
        <f t="shared" si="0"/>
        <v>-359989</v>
      </c>
      <c r="I25">
        <f>_xlfn.XLOOKUP(A25,'[1]Forecast 2026'!$A:$A,'[1]Forecast 2026'!$AJ:$AJ,"NA",0,1)</f>
        <v>1</v>
      </c>
      <c r="J25">
        <f t="shared" si="2"/>
        <v>0</v>
      </c>
    </row>
    <row r="26" spans="1:10" hidden="1" x14ac:dyDescent="0.35">
      <c r="A26" t="s">
        <v>61</v>
      </c>
      <c r="B26" t="s">
        <v>62</v>
      </c>
      <c r="C26" t="s">
        <v>39</v>
      </c>
      <c r="D26" t="s">
        <v>45</v>
      </c>
      <c r="E26">
        <v>0</v>
      </c>
      <c r="F26">
        <v>109990</v>
      </c>
      <c r="G26">
        <f t="shared" si="1"/>
        <v>0</v>
      </c>
      <c r="H26">
        <f t="shared" si="0"/>
        <v>0</v>
      </c>
      <c r="I26">
        <f>_xlfn.XLOOKUP(A26,'[1]Forecast 2026'!$A:$A,'[1]Forecast 2026'!$AJ:$AJ,"NA",0,1)</f>
        <v>0</v>
      </c>
      <c r="J26">
        <f t="shared" si="2"/>
        <v>0</v>
      </c>
    </row>
    <row r="27" spans="1:10" hidden="1" x14ac:dyDescent="0.35">
      <c r="A27" t="s">
        <v>63</v>
      </c>
      <c r="B27" t="s">
        <v>64</v>
      </c>
      <c r="C27" t="s">
        <v>39</v>
      </c>
      <c r="D27" t="s">
        <v>45</v>
      </c>
      <c r="E27">
        <v>66</v>
      </c>
      <c r="F27">
        <v>79990</v>
      </c>
      <c r="G27">
        <f t="shared" si="1"/>
        <v>5279340</v>
      </c>
      <c r="H27">
        <f t="shared" si="0"/>
        <v>-5279274</v>
      </c>
      <c r="I27">
        <f>_xlfn.XLOOKUP(A27,'[1]Forecast 2026'!$A:$A,'[1]Forecast 2026'!$AJ:$AJ,"NA",0,1)</f>
        <v>66</v>
      </c>
      <c r="J27">
        <f t="shared" si="2"/>
        <v>0</v>
      </c>
    </row>
    <row r="28" spans="1:10" hidden="1" x14ac:dyDescent="0.35">
      <c r="A28" t="s">
        <v>65</v>
      </c>
      <c r="B28" t="s">
        <v>66</v>
      </c>
      <c r="C28" t="s">
        <v>39</v>
      </c>
      <c r="D28" t="s">
        <v>45</v>
      </c>
      <c r="E28">
        <v>0</v>
      </c>
      <c r="F28">
        <v>139990</v>
      </c>
      <c r="G28">
        <f t="shared" si="1"/>
        <v>0</v>
      </c>
      <c r="H28">
        <f t="shared" si="0"/>
        <v>0</v>
      </c>
      <c r="I28">
        <f>_xlfn.XLOOKUP(A28,'[1]Forecast 2026'!$A:$A,'[1]Forecast 2026'!$AJ:$AJ,"NA",0,1)</f>
        <v>0</v>
      </c>
      <c r="J28">
        <f t="shared" si="2"/>
        <v>0</v>
      </c>
    </row>
    <row r="29" spans="1:10" hidden="1" x14ac:dyDescent="0.35">
      <c r="A29" t="s">
        <v>67</v>
      </c>
      <c r="B29" t="s">
        <v>68</v>
      </c>
      <c r="C29" t="s">
        <v>39</v>
      </c>
      <c r="D29" t="s">
        <v>45</v>
      </c>
      <c r="E29">
        <v>0</v>
      </c>
      <c r="F29">
        <v>84990</v>
      </c>
      <c r="G29">
        <f t="shared" si="1"/>
        <v>0</v>
      </c>
      <c r="H29">
        <f t="shared" si="0"/>
        <v>0</v>
      </c>
      <c r="I29">
        <f>_xlfn.XLOOKUP(A29,'[1]Forecast 2026'!$A:$A,'[1]Forecast 2026'!$AJ:$AJ,"NA",0,1)</f>
        <v>0</v>
      </c>
      <c r="J29">
        <f t="shared" si="2"/>
        <v>0</v>
      </c>
    </row>
    <row r="30" spans="1:10" hidden="1" x14ac:dyDescent="0.35">
      <c r="A30" t="s">
        <v>69</v>
      </c>
      <c r="B30" t="s">
        <v>70</v>
      </c>
      <c r="C30" t="s">
        <v>39</v>
      </c>
      <c r="D30" t="s">
        <v>45</v>
      </c>
      <c r="E30">
        <v>0</v>
      </c>
      <c r="F30">
        <v>9990</v>
      </c>
      <c r="G30">
        <f t="shared" si="1"/>
        <v>0</v>
      </c>
      <c r="H30">
        <f t="shared" si="0"/>
        <v>0</v>
      </c>
      <c r="I30">
        <f>_xlfn.XLOOKUP(A30,'[1]Forecast 2026'!$A:$A,'[1]Forecast 2026'!$AJ:$AJ,"NA",0,1)</f>
        <v>0</v>
      </c>
      <c r="J30">
        <f t="shared" si="2"/>
        <v>0</v>
      </c>
    </row>
    <row r="31" spans="1:10" hidden="1" x14ac:dyDescent="0.35">
      <c r="A31" t="s">
        <v>71</v>
      </c>
      <c r="B31" t="s">
        <v>72</v>
      </c>
      <c r="C31" t="s">
        <v>39</v>
      </c>
      <c r="D31" t="s">
        <v>45</v>
      </c>
      <c r="E31">
        <v>0</v>
      </c>
      <c r="F31">
        <v>13990</v>
      </c>
      <c r="G31">
        <f t="shared" si="1"/>
        <v>0</v>
      </c>
      <c r="H31">
        <f t="shared" si="0"/>
        <v>0</v>
      </c>
      <c r="I31">
        <f>_xlfn.XLOOKUP(A31,'[1]Forecast 2026'!$A:$A,'[1]Forecast 2026'!$AJ:$AJ,"NA",0,1)</f>
        <v>0</v>
      </c>
      <c r="J31">
        <f t="shared" si="2"/>
        <v>0</v>
      </c>
    </row>
    <row r="32" spans="1:10" hidden="1" x14ac:dyDescent="0.35">
      <c r="A32" t="s">
        <v>73</v>
      </c>
      <c r="B32" t="s">
        <v>74</v>
      </c>
      <c r="C32" t="s">
        <v>39</v>
      </c>
      <c r="D32" t="s">
        <v>45</v>
      </c>
      <c r="E32">
        <v>0</v>
      </c>
      <c r="F32">
        <v>16990</v>
      </c>
      <c r="G32">
        <f t="shared" si="1"/>
        <v>0</v>
      </c>
      <c r="H32">
        <f t="shared" si="0"/>
        <v>0</v>
      </c>
      <c r="I32">
        <f>_xlfn.XLOOKUP(A32,'[1]Forecast 2026'!$A:$A,'[1]Forecast 2026'!$AJ:$AJ,"NA",0,1)</f>
        <v>0</v>
      </c>
      <c r="J32">
        <f t="shared" si="2"/>
        <v>0</v>
      </c>
    </row>
    <row r="33" spans="1:10" hidden="1" x14ac:dyDescent="0.35">
      <c r="A33" t="s">
        <v>75</v>
      </c>
      <c r="B33" t="s">
        <v>76</v>
      </c>
      <c r="C33" t="s">
        <v>39</v>
      </c>
      <c r="D33" t="s">
        <v>45</v>
      </c>
      <c r="E33">
        <v>0</v>
      </c>
      <c r="F33">
        <v>79990</v>
      </c>
      <c r="G33">
        <f t="shared" si="1"/>
        <v>0</v>
      </c>
      <c r="H33">
        <f t="shared" si="0"/>
        <v>0</v>
      </c>
      <c r="I33">
        <f>_xlfn.XLOOKUP(A33,'[1]Forecast 2026'!$A:$A,'[1]Forecast 2026'!$AJ:$AJ,"NA",0,1)</f>
        <v>0</v>
      </c>
      <c r="J33">
        <f t="shared" si="2"/>
        <v>0</v>
      </c>
    </row>
    <row r="34" spans="1:10" hidden="1" x14ac:dyDescent="0.35">
      <c r="A34" t="s">
        <v>77</v>
      </c>
      <c r="B34" t="s">
        <v>78</v>
      </c>
      <c r="C34" t="s">
        <v>39</v>
      </c>
      <c r="D34" t="s">
        <v>45</v>
      </c>
      <c r="E34">
        <v>0</v>
      </c>
      <c r="F34">
        <v>94990</v>
      </c>
      <c r="G34">
        <f t="shared" si="1"/>
        <v>0</v>
      </c>
      <c r="H34">
        <f t="shared" si="0"/>
        <v>0</v>
      </c>
      <c r="I34">
        <f>_xlfn.XLOOKUP(A34,'[1]Forecast 2026'!$A:$A,'[1]Forecast 2026'!$AJ:$AJ,"NA",0,1)</f>
        <v>0</v>
      </c>
      <c r="J34">
        <f t="shared" si="2"/>
        <v>0</v>
      </c>
    </row>
    <row r="35" spans="1:10" hidden="1" x14ac:dyDescent="0.35">
      <c r="A35" t="s">
        <v>79</v>
      </c>
      <c r="B35" t="s">
        <v>80</v>
      </c>
      <c r="C35" t="s">
        <v>39</v>
      </c>
      <c r="D35" t="s">
        <v>45</v>
      </c>
      <c r="E35">
        <v>0</v>
      </c>
      <c r="F35">
        <v>179990</v>
      </c>
      <c r="G35">
        <f t="shared" si="1"/>
        <v>0</v>
      </c>
      <c r="H35">
        <f t="shared" si="0"/>
        <v>0</v>
      </c>
      <c r="I35">
        <f>_xlfn.XLOOKUP(A35,'[1]Forecast 2026'!$A:$A,'[1]Forecast 2026'!$AJ:$AJ,"NA",0,1)</f>
        <v>0</v>
      </c>
      <c r="J35">
        <f t="shared" si="2"/>
        <v>0</v>
      </c>
    </row>
    <row r="36" spans="1:10" hidden="1" x14ac:dyDescent="0.35">
      <c r="A36" t="s">
        <v>81</v>
      </c>
      <c r="B36" t="s">
        <v>82</v>
      </c>
      <c r="C36" t="s">
        <v>39</v>
      </c>
      <c r="D36" t="s">
        <v>45</v>
      </c>
      <c r="E36">
        <v>220</v>
      </c>
      <c r="F36">
        <v>69990</v>
      </c>
      <c r="G36">
        <f t="shared" si="1"/>
        <v>15397800</v>
      </c>
      <c r="H36">
        <f t="shared" si="0"/>
        <v>-15397580</v>
      </c>
      <c r="I36">
        <f>_xlfn.XLOOKUP(A36,'[1]Forecast 2026'!$A:$A,'[1]Forecast 2026'!$AJ:$AJ,"NA",0,1)</f>
        <v>220</v>
      </c>
      <c r="J36">
        <f t="shared" si="2"/>
        <v>0</v>
      </c>
    </row>
    <row r="37" spans="1:10" hidden="1" x14ac:dyDescent="0.35">
      <c r="A37" t="s">
        <v>83</v>
      </c>
      <c r="B37" t="s">
        <v>84</v>
      </c>
      <c r="C37" t="s">
        <v>39</v>
      </c>
      <c r="D37" t="s">
        <v>45</v>
      </c>
      <c r="E37">
        <v>0</v>
      </c>
      <c r="F37">
        <v>159990</v>
      </c>
      <c r="G37">
        <f t="shared" si="1"/>
        <v>0</v>
      </c>
      <c r="H37">
        <f t="shared" si="0"/>
        <v>0</v>
      </c>
      <c r="I37">
        <f>_xlfn.XLOOKUP(A37,'[1]Forecast 2026'!$A:$A,'[1]Forecast 2026'!$AJ:$AJ,"NA",0,1)</f>
        <v>0</v>
      </c>
      <c r="J37">
        <f t="shared" si="2"/>
        <v>0</v>
      </c>
    </row>
    <row r="38" spans="1:10" hidden="1" x14ac:dyDescent="0.35">
      <c r="A38" t="s">
        <v>85</v>
      </c>
      <c r="B38" t="s">
        <v>86</v>
      </c>
      <c r="C38" t="s">
        <v>39</v>
      </c>
      <c r="D38" t="s">
        <v>40</v>
      </c>
      <c r="E38">
        <v>32</v>
      </c>
      <c r="F38">
        <v>34990</v>
      </c>
      <c r="G38">
        <f t="shared" si="1"/>
        <v>1119680</v>
      </c>
      <c r="H38">
        <f t="shared" si="0"/>
        <v>-1119648</v>
      </c>
      <c r="I38">
        <f>_xlfn.XLOOKUP(A38,'[1]Forecast 2026'!$A:$A,'[1]Forecast 2026'!$AJ:$AJ,"NA",0,1)</f>
        <v>32</v>
      </c>
      <c r="J38">
        <f t="shared" si="2"/>
        <v>0</v>
      </c>
    </row>
    <row r="39" spans="1:10" hidden="1" x14ac:dyDescent="0.35">
      <c r="A39" t="s">
        <v>87</v>
      </c>
      <c r="B39" t="s">
        <v>88</v>
      </c>
      <c r="C39" t="s">
        <v>39</v>
      </c>
      <c r="D39" t="s">
        <v>40</v>
      </c>
      <c r="E39">
        <v>60</v>
      </c>
      <c r="F39">
        <v>34990</v>
      </c>
      <c r="G39">
        <f t="shared" si="1"/>
        <v>2099400</v>
      </c>
      <c r="H39">
        <f t="shared" si="0"/>
        <v>-2099340</v>
      </c>
      <c r="I39">
        <f>_xlfn.XLOOKUP(A39,'[1]Forecast 2026'!$A:$A,'[1]Forecast 2026'!$AJ:$AJ,"NA",0,1)</f>
        <v>60</v>
      </c>
      <c r="J39">
        <f t="shared" si="2"/>
        <v>0</v>
      </c>
    </row>
    <row r="40" spans="1:10" hidden="1" x14ac:dyDescent="0.35">
      <c r="A40" t="s">
        <v>89</v>
      </c>
      <c r="B40" t="s">
        <v>90</v>
      </c>
      <c r="C40" t="s">
        <v>39</v>
      </c>
      <c r="D40" t="s">
        <v>45</v>
      </c>
      <c r="E40">
        <v>0</v>
      </c>
      <c r="F40">
        <v>26990</v>
      </c>
      <c r="G40">
        <f t="shared" si="1"/>
        <v>0</v>
      </c>
      <c r="H40">
        <f t="shared" si="0"/>
        <v>0</v>
      </c>
      <c r="I40">
        <f>_xlfn.XLOOKUP(A40,'[1]Forecast 2026'!$A:$A,'[1]Forecast 2026'!$AJ:$AJ,"NA",0,1)</f>
        <v>0</v>
      </c>
      <c r="J40">
        <f t="shared" si="2"/>
        <v>0</v>
      </c>
    </row>
    <row r="41" spans="1:10" hidden="1" x14ac:dyDescent="0.35">
      <c r="A41" t="s">
        <v>91</v>
      </c>
      <c r="B41" t="s">
        <v>92</v>
      </c>
      <c r="C41" t="s">
        <v>39</v>
      </c>
      <c r="D41" t="s">
        <v>48</v>
      </c>
      <c r="E41">
        <v>46</v>
      </c>
      <c r="F41">
        <v>24990</v>
      </c>
      <c r="G41">
        <f t="shared" si="1"/>
        <v>1149540</v>
      </c>
      <c r="H41">
        <f t="shared" si="0"/>
        <v>-1149494</v>
      </c>
      <c r="I41">
        <f>_xlfn.XLOOKUP(A41,'[1]Forecast 2026'!$A:$A,'[1]Forecast 2026'!$AJ:$AJ,"NA",0,1)</f>
        <v>46</v>
      </c>
      <c r="J41">
        <f t="shared" si="2"/>
        <v>0</v>
      </c>
    </row>
    <row r="42" spans="1:10" hidden="1" x14ac:dyDescent="0.35">
      <c r="A42" t="s">
        <v>93</v>
      </c>
      <c r="B42" t="s">
        <v>94</v>
      </c>
      <c r="C42" t="s">
        <v>39</v>
      </c>
      <c r="D42" t="s">
        <v>48</v>
      </c>
      <c r="E42">
        <v>0</v>
      </c>
      <c r="F42">
        <v>0</v>
      </c>
      <c r="G42">
        <f t="shared" si="1"/>
        <v>0</v>
      </c>
      <c r="H42">
        <f t="shared" si="0"/>
        <v>0</v>
      </c>
      <c r="I42">
        <f>_xlfn.XLOOKUP(A42,'[1]Forecast 2026'!$A:$A,'[1]Forecast 2026'!$AJ:$AJ,"NA",0,1)</f>
        <v>0</v>
      </c>
      <c r="J42">
        <f t="shared" si="2"/>
        <v>0</v>
      </c>
    </row>
    <row r="43" spans="1:10" hidden="1" x14ac:dyDescent="0.35">
      <c r="A43" t="s">
        <v>95</v>
      </c>
      <c r="B43" t="s">
        <v>96</v>
      </c>
      <c r="C43" t="s">
        <v>39</v>
      </c>
      <c r="D43" t="s">
        <v>45</v>
      </c>
      <c r="E43">
        <v>0</v>
      </c>
      <c r="F43">
        <v>0</v>
      </c>
      <c r="G43">
        <f t="shared" si="1"/>
        <v>0</v>
      </c>
      <c r="H43">
        <f t="shared" si="0"/>
        <v>0</v>
      </c>
      <c r="I43">
        <f>_xlfn.XLOOKUP(A43,'[1]Forecast 2026'!$A:$A,'[1]Forecast 2026'!$AJ:$AJ,"NA",0,1)</f>
        <v>0</v>
      </c>
      <c r="J43">
        <f t="shared" si="2"/>
        <v>0</v>
      </c>
    </row>
    <row r="44" spans="1:10" hidden="1" x14ac:dyDescent="0.35">
      <c r="A44" t="s">
        <v>97</v>
      </c>
      <c r="B44" t="s">
        <v>98</v>
      </c>
      <c r="C44" t="s">
        <v>39</v>
      </c>
      <c r="D44" t="s">
        <v>45</v>
      </c>
      <c r="E44">
        <v>90</v>
      </c>
      <c r="F44">
        <v>0</v>
      </c>
      <c r="G44">
        <f t="shared" si="1"/>
        <v>0</v>
      </c>
      <c r="H44">
        <f t="shared" si="0"/>
        <v>90</v>
      </c>
      <c r="I44">
        <f>_xlfn.XLOOKUP(A44,'[1]Forecast 2026'!$A:$A,'[1]Forecast 2026'!$AJ:$AJ,"NA",0,1)</f>
        <v>90</v>
      </c>
      <c r="J44">
        <f t="shared" si="2"/>
        <v>0</v>
      </c>
    </row>
    <row r="45" spans="1:10" hidden="1" x14ac:dyDescent="0.35">
      <c r="A45" t="s">
        <v>99</v>
      </c>
      <c r="B45" t="s">
        <v>100</v>
      </c>
      <c r="C45" t="s">
        <v>39</v>
      </c>
      <c r="D45" t="s">
        <v>45</v>
      </c>
      <c r="E45">
        <v>100</v>
      </c>
      <c r="F45">
        <v>0</v>
      </c>
      <c r="G45">
        <f t="shared" si="1"/>
        <v>0</v>
      </c>
      <c r="H45">
        <f t="shared" si="0"/>
        <v>100</v>
      </c>
      <c r="I45">
        <f>_xlfn.XLOOKUP(A45,'[1]Forecast 2026'!$A:$A,'[1]Forecast 2026'!$AJ:$AJ,"NA",0,1)</f>
        <v>100</v>
      </c>
      <c r="J45">
        <f t="shared" si="2"/>
        <v>0</v>
      </c>
    </row>
    <row r="46" spans="1:10" hidden="1" x14ac:dyDescent="0.35">
      <c r="A46" t="s">
        <v>101</v>
      </c>
      <c r="B46" t="s">
        <v>102</v>
      </c>
      <c r="C46" t="s">
        <v>39</v>
      </c>
      <c r="D46" t="s">
        <v>45</v>
      </c>
      <c r="E46">
        <v>100</v>
      </c>
      <c r="F46">
        <v>0</v>
      </c>
      <c r="G46">
        <f t="shared" si="1"/>
        <v>0</v>
      </c>
      <c r="H46">
        <f t="shared" si="0"/>
        <v>100</v>
      </c>
      <c r="I46">
        <f>_xlfn.XLOOKUP(A46,'[1]Forecast 2026'!$A:$A,'[1]Forecast 2026'!$AJ:$AJ,"NA",0,1)</f>
        <v>100</v>
      </c>
      <c r="J46">
        <f t="shared" si="2"/>
        <v>0</v>
      </c>
    </row>
    <row r="47" spans="1:10" hidden="1" x14ac:dyDescent="0.35">
      <c r="A47" t="s">
        <v>103</v>
      </c>
      <c r="B47" t="s">
        <v>104</v>
      </c>
      <c r="C47" t="s">
        <v>39</v>
      </c>
      <c r="D47" t="s">
        <v>45</v>
      </c>
      <c r="E47">
        <v>80</v>
      </c>
      <c r="F47">
        <v>0</v>
      </c>
      <c r="G47">
        <f t="shared" si="1"/>
        <v>0</v>
      </c>
      <c r="H47">
        <f t="shared" si="0"/>
        <v>80</v>
      </c>
      <c r="I47">
        <f>_xlfn.XLOOKUP(A47,'[1]Forecast 2026'!$A:$A,'[1]Forecast 2026'!$AJ:$AJ,"NA",0,1)</f>
        <v>80</v>
      </c>
      <c r="J47">
        <f t="shared" si="2"/>
        <v>0</v>
      </c>
    </row>
    <row r="48" spans="1:10" hidden="1" x14ac:dyDescent="0.35">
      <c r="A48" t="s">
        <v>105</v>
      </c>
      <c r="B48" t="s">
        <v>106</v>
      </c>
      <c r="C48" t="s">
        <v>39</v>
      </c>
      <c r="D48" t="s">
        <v>45</v>
      </c>
      <c r="E48">
        <v>0</v>
      </c>
      <c r="F48">
        <v>0</v>
      </c>
      <c r="G48">
        <f t="shared" si="1"/>
        <v>0</v>
      </c>
      <c r="H48">
        <f t="shared" si="0"/>
        <v>0</v>
      </c>
      <c r="I48">
        <f>_xlfn.XLOOKUP(A48,'[1]Forecast 2026'!$A:$A,'[1]Forecast 2026'!$AJ:$AJ,"NA",0,1)</f>
        <v>0</v>
      </c>
      <c r="J48">
        <f t="shared" si="2"/>
        <v>0</v>
      </c>
    </row>
    <row r="49" spans="1:10" hidden="1" x14ac:dyDescent="0.35">
      <c r="A49" t="s">
        <v>107</v>
      </c>
      <c r="B49" t="s">
        <v>108</v>
      </c>
      <c r="C49" t="s">
        <v>39</v>
      </c>
      <c r="D49" t="s">
        <v>45</v>
      </c>
      <c r="E49">
        <v>41</v>
      </c>
      <c r="F49">
        <v>0</v>
      </c>
      <c r="G49">
        <f t="shared" si="1"/>
        <v>0</v>
      </c>
      <c r="H49">
        <f t="shared" si="0"/>
        <v>41</v>
      </c>
      <c r="I49">
        <f>_xlfn.XLOOKUP(A49,'[1]Forecast 2026'!$A:$A,'[1]Forecast 2026'!$AJ:$AJ,"NA",0,1)</f>
        <v>41</v>
      </c>
      <c r="J49">
        <f t="shared" si="2"/>
        <v>0</v>
      </c>
    </row>
    <row r="50" spans="1:10" hidden="1" x14ac:dyDescent="0.35">
      <c r="A50" t="s">
        <v>109</v>
      </c>
      <c r="B50" t="s">
        <v>110</v>
      </c>
      <c r="C50" t="s">
        <v>39</v>
      </c>
      <c r="D50" t="s">
        <v>45</v>
      </c>
      <c r="E50">
        <v>33</v>
      </c>
      <c r="F50">
        <v>0</v>
      </c>
      <c r="G50">
        <f t="shared" si="1"/>
        <v>0</v>
      </c>
      <c r="H50">
        <f t="shared" si="0"/>
        <v>33</v>
      </c>
      <c r="I50">
        <f>_xlfn.XLOOKUP(A50,'[1]Forecast 2026'!$A:$A,'[1]Forecast 2026'!$AJ:$AJ,"NA",0,1)</f>
        <v>33</v>
      </c>
      <c r="J50">
        <f t="shared" si="2"/>
        <v>0</v>
      </c>
    </row>
    <row r="51" spans="1:10" hidden="1" x14ac:dyDescent="0.35">
      <c r="A51" t="s">
        <v>111</v>
      </c>
      <c r="B51" t="s">
        <v>112</v>
      </c>
      <c r="C51" t="s">
        <v>113</v>
      </c>
      <c r="D51" t="s">
        <v>114</v>
      </c>
      <c r="E51">
        <v>0</v>
      </c>
      <c r="F51">
        <v>29990</v>
      </c>
      <c r="G51">
        <f t="shared" si="1"/>
        <v>0</v>
      </c>
      <c r="H51">
        <f t="shared" si="0"/>
        <v>0</v>
      </c>
      <c r="I51">
        <f>_xlfn.XLOOKUP(A51,'[1]Forecast 2026'!$A:$A,'[1]Forecast 2026'!$AJ:$AJ,"NA",0,1)</f>
        <v>0</v>
      </c>
      <c r="J51">
        <f t="shared" si="2"/>
        <v>0</v>
      </c>
    </row>
    <row r="52" spans="1:10" hidden="1" x14ac:dyDescent="0.35">
      <c r="A52" t="s">
        <v>115</v>
      </c>
      <c r="B52" t="s">
        <v>116</v>
      </c>
      <c r="C52" t="s">
        <v>113</v>
      </c>
      <c r="D52" t="s">
        <v>114</v>
      </c>
      <c r="E52">
        <v>0</v>
      </c>
      <c r="F52">
        <v>15990</v>
      </c>
      <c r="G52">
        <f t="shared" si="1"/>
        <v>0</v>
      </c>
      <c r="H52">
        <f t="shared" si="0"/>
        <v>0</v>
      </c>
      <c r="I52">
        <f>_xlfn.XLOOKUP(A52,'[1]Forecast 2026'!$A:$A,'[1]Forecast 2026'!$AJ:$AJ,"NA",0,1)</f>
        <v>0</v>
      </c>
      <c r="J52">
        <f t="shared" si="2"/>
        <v>0</v>
      </c>
    </row>
    <row r="53" spans="1:10" hidden="1" x14ac:dyDescent="0.35">
      <c r="A53" t="s">
        <v>117</v>
      </c>
      <c r="B53" t="s">
        <v>118</v>
      </c>
      <c r="C53" t="s">
        <v>113</v>
      </c>
      <c r="D53" t="s">
        <v>114</v>
      </c>
      <c r="E53">
        <v>2</v>
      </c>
      <c r="F53">
        <v>19990</v>
      </c>
      <c r="G53">
        <f t="shared" si="1"/>
        <v>39980</v>
      </c>
      <c r="H53">
        <f t="shared" si="0"/>
        <v>-39978</v>
      </c>
      <c r="I53">
        <f>_xlfn.XLOOKUP(A53,'[1]Forecast 2026'!$A:$A,'[1]Forecast 2026'!$AJ:$AJ,"NA",0,1)</f>
        <v>2</v>
      </c>
      <c r="J53">
        <f t="shared" si="2"/>
        <v>0</v>
      </c>
    </row>
    <row r="54" spans="1:10" hidden="1" x14ac:dyDescent="0.35">
      <c r="A54" t="s">
        <v>119</v>
      </c>
      <c r="B54" t="s">
        <v>120</v>
      </c>
      <c r="C54" t="s">
        <v>113</v>
      </c>
      <c r="D54" t="s">
        <v>114</v>
      </c>
      <c r="E54">
        <v>0</v>
      </c>
      <c r="F54">
        <v>20990</v>
      </c>
      <c r="G54">
        <f t="shared" si="1"/>
        <v>0</v>
      </c>
      <c r="H54">
        <f t="shared" si="0"/>
        <v>0</v>
      </c>
      <c r="I54">
        <f>_xlfn.XLOOKUP(A54,'[1]Forecast 2026'!$A:$A,'[1]Forecast 2026'!$AJ:$AJ,"NA",0,1)</f>
        <v>0</v>
      </c>
      <c r="J54">
        <f t="shared" si="2"/>
        <v>0</v>
      </c>
    </row>
    <row r="55" spans="1:10" hidden="1" x14ac:dyDescent="0.35">
      <c r="A55" t="s">
        <v>121</v>
      </c>
      <c r="B55" t="s">
        <v>122</v>
      </c>
      <c r="C55" t="s">
        <v>113</v>
      </c>
      <c r="D55" t="s">
        <v>114</v>
      </c>
      <c r="E55">
        <v>0</v>
      </c>
      <c r="F55">
        <v>22990</v>
      </c>
      <c r="G55">
        <f t="shared" si="1"/>
        <v>0</v>
      </c>
      <c r="H55">
        <f t="shared" si="0"/>
        <v>0</v>
      </c>
      <c r="I55">
        <f>_xlfn.XLOOKUP(A55,'[1]Forecast 2026'!$A:$A,'[1]Forecast 2026'!$AJ:$AJ,"NA",0,1)</f>
        <v>0</v>
      </c>
      <c r="J55">
        <f t="shared" si="2"/>
        <v>0</v>
      </c>
    </row>
    <row r="56" spans="1:10" hidden="1" x14ac:dyDescent="0.35">
      <c r="A56" t="s">
        <v>123</v>
      </c>
      <c r="B56" t="s">
        <v>124</v>
      </c>
      <c r="C56" t="s">
        <v>113</v>
      </c>
      <c r="D56" t="s">
        <v>114</v>
      </c>
      <c r="E56">
        <v>0</v>
      </c>
      <c r="F56">
        <v>24990</v>
      </c>
      <c r="G56">
        <f t="shared" si="1"/>
        <v>0</v>
      </c>
      <c r="H56">
        <f t="shared" si="0"/>
        <v>0</v>
      </c>
      <c r="I56">
        <f>_xlfn.XLOOKUP(A56,'[1]Forecast 2026'!$A:$A,'[1]Forecast 2026'!$AJ:$AJ,"NA",0,1)</f>
        <v>0</v>
      </c>
      <c r="J56">
        <f t="shared" si="2"/>
        <v>0</v>
      </c>
    </row>
    <row r="57" spans="1:10" hidden="1" x14ac:dyDescent="0.35">
      <c r="A57" t="s">
        <v>125</v>
      </c>
      <c r="B57" t="s">
        <v>126</v>
      </c>
      <c r="C57" t="s">
        <v>113</v>
      </c>
      <c r="D57" t="s">
        <v>114</v>
      </c>
      <c r="E57">
        <v>16</v>
      </c>
      <c r="F57">
        <v>39990</v>
      </c>
      <c r="G57">
        <f t="shared" si="1"/>
        <v>639840</v>
      </c>
      <c r="H57">
        <f t="shared" si="0"/>
        <v>-639824</v>
      </c>
      <c r="I57">
        <f>_xlfn.XLOOKUP(A57,'[1]Forecast 2026'!$A:$A,'[1]Forecast 2026'!$AJ:$AJ,"NA",0,1)</f>
        <v>16</v>
      </c>
      <c r="J57">
        <f t="shared" si="2"/>
        <v>0</v>
      </c>
    </row>
    <row r="58" spans="1:10" hidden="1" x14ac:dyDescent="0.35">
      <c r="A58" t="s">
        <v>127</v>
      </c>
      <c r="B58" t="s">
        <v>128</v>
      </c>
      <c r="C58" t="s">
        <v>113</v>
      </c>
      <c r="D58" t="s">
        <v>114</v>
      </c>
      <c r="E58">
        <v>0</v>
      </c>
      <c r="F58">
        <v>159990</v>
      </c>
      <c r="G58">
        <f t="shared" si="1"/>
        <v>0</v>
      </c>
      <c r="H58">
        <f t="shared" si="0"/>
        <v>0</v>
      </c>
      <c r="I58">
        <f>_xlfn.XLOOKUP(A58,'[1]Forecast 2026'!$A:$A,'[1]Forecast 2026'!$AJ:$AJ,"NA",0,1)</f>
        <v>0</v>
      </c>
      <c r="J58">
        <f t="shared" si="2"/>
        <v>0</v>
      </c>
    </row>
    <row r="59" spans="1:10" hidden="1" x14ac:dyDescent="0.35">
      <c r="A59" t="s">
        <v>129</v>
      </c>
      <c r="B59" t="s">
        <v>130</v>
      </c>
      <c r="C59" t="s">
        <v>113</v>
      </c>
      <c r="D59" t="s">
        <v>114</v>
      </c>
      <c r="E59">
        <v>0</v>
      </c>
      <c r="F59">
        <v>189990</v>
      </c>
      <c r="G59">
        <f t="shared" si="1"/>
        <v>0</v>
      </c>
      <c r="H59">
        <f t="shared" si="0"/>
        <v>0</v>
      </c>
      <c r="I59">
        <f>_xlfn.XLOOKUP(A59,'[1]Forecast 2026'!$A:$A,'[1]Forecast 2026'!$AJ:$AJ,"NA",0,1)</f>
        <v>0</v>
      </c>
      <c r="J59">
        <f t="shared" si="2"/>
        <v>0</v>
      </c>
    </row>
    <row r="60" spans="1:10" hidden="1" x14ac:dyDescent="0.35">
      <c r="A60" t="s">
        <v>131</v>
      </c>
      <c r="B60" t="s">
        <v>132</v>
      </c>
      <c r="C60" t="s">
        <v>113</v>
      </c>
      <c r="D60" t="s">
        <v>114</v>
      </c>
      <c r="E60">
        <v>0</v>
      </c>
      <c r="F60">
        <v>219990</v>
      </c>
      <c r="G60">
        <f t="shared" si="1"/>
        <v>0</v>
      </c>
      <c r="H60">
        <f t="shared" si="0"/>
        <v>0</v>
      </c>
      <c r="I60">
        <f>_xlfn.XLOOKUP(A60,'[1]Forecast 2026'!$A:$A,'[1]Forecast 2026'!$AJ:$AJ,"NA",0,1)</f>
        <v>0</v>
      </c>
      <c r="J60">
        <f t="shared" si="2"/>
        <v>0</v>
      </c>
    </row>
    <row r="61" spans="1:10" hidden="1" x14ac:dyDescent="0.35">
      <c r="A61" t="s">
        <v>133</v>
      </c>
      <c r="B61" t="s">
        <v>134</v>
      </c>
      <c r="C61" t="s">
        <v>113</v>
      </c>
      <c r="D61" t="s">
        <v>114</v>
      </c>
      <c r="E61">
        <v>0</v>
      </c>
      <c r="F61">
        <v>289990</v>
      </c>
      <c r="G61">
        <f t="shared" si="1"/>
        <v>0</v>
      </c>
      <c r="H61">
        <f t="shared" si="0"/>
        <v>0</v>
      </c>
      <c r="I61">
        <f>_xlfn.XLOOKUP(A61,'[1]Forecast 2026'!$A:$A,'[1]Forecast 2026'!$AJ:$AJ,"NA",0,1)</f>
        <v>0</v>
      </c>
      <c r="J61">
        <f t="shared" si="2"/>
        <v>0</v>
      </c>
    </row>
    <row r="62" spans="1:10" hidden="1" x14ac:dyDescent="0.35">
      <c r="A62" t="s">
        <v>135</v>
      </c>
      <c r="B62" t="s">
        <v>136</v>
      </c>
      <c r="C62" t="s">
        <v>113</v>
      </c>
      <c r="D62" t="s">
        <v>114</v>
      </c>
      <c r="E62">
        <v>0</v>
      </c>
      <c r="F62">
        <v>339990</v>
      </c>
      <c r="G62">
        <f t="shared" si="1"/>
        <v>0</v>
      </c>
      <c r="H62">
        <f t="shared" si="0"/>
        <v>0</v>
      </c>
      <c r="I62">
        <f>_xlfn.XLOOKUP(A62,'[1]Forecast 2026'!$A:$A,'[1]Forecast 2026'!$AJ:$AJ,"NA",0,1)</f>
        <v>0</v>
      </c>
      <c r="J62">
        <f t="shared" si="2"/>
        <v>0</v>
      </c>
    </row>
    <row r="63" spans="1:10" hidden="1" x14ac:dyDescent="0.35">
      <c r="A63" t="s">
        <v>137</v>
      </c>
      <c r="B63" t="s">
        <v>138</v>
      </c>
      <c r="C63" t="s">
        <v>113</v>
      </c>
      <c r="D63" t="s">
        <v>114</v>
      </c>
      <c r="E63">
        <v>0</v>
      </c>
      <c r="F63">
        <v>199990</v>
      </c>
      <c r="G63">
        <f t="shared" si="1"/>
        <v>0</v>
      </c>
      <c r="H63">
        <f t="shared" si="0"/>
        <v>0</v>
      </c>
      <c r="I63">
        <f>_xlfn.XLOOKUP(A63,'[1]Forecast 2026'!$A:$A,'[1]Forecast 2026'!$AJ:$AJ,"NA",0,1)</f>
        <v>0</v>
      </c>
      <c r="J63">
        <f t="shared" si="2"/>
        <v>0</v>
      </c>
    </row>
    <row r="64" spans="1:10" hidden="1" x14ac:dyDescent="0.35">
      <c r="A64" t="s">
        <v>139</v>
      </c>
      <c r="B64" t="s">
        <v>140</v>
      </c>
      <c r="C64" t="s">
        <v>113</v>
      </c>
      <c r="D64" t="s">
        <v>114</v>
      </c>
      <c r="E64">
        <v>17</v>
      </c>
      <c r="F64">
        <v>269990</v>
      </c>
      <c r="G64">
        <f t="shared" si="1"/>
        <v>4589830</v>
      </c>
      <c r="H64">
        <f t="shared" si="0"/>
        <v>-4589813</v>
      </c>
      <c r="I64">
        <f>_xlfn.XLOOKUP(A64,'[1]Forecast 2026'!$A:$A,'[1]Forecast 2026'!$AJ:$AJ,"NA",0,1)</f>
        <v>17</v>
      </c>
      <c r="J64">
        <f t="shared" si="2"/>
        <v>0</v>
      </c>
    </row>
    <row r="65" spans="1:10" hidden="1" x14ac:dyDescent="0.35">
      <c r="A65" t="s">
        <v>141</v>
      </c>
      <c r="B65" t="s">
        <v>142</v>
      </c>
      <c r="C65" t="s">
        <v>113</v>
      </c>
      <c r="D65" t="s">
        <v>114</v>
      </c>
      <c r="E65">
        <v>0</v>
      </c>
      <c r="F65">
        <v>319990</v>
      </c>
      <c r="G65">
        <f t="shared" si="1"/>
        <v>0</v>
      </c>
      <c r="H65">
        <f t="shared" si="0"/>
        <v>0</v>
      </c>
      <c r="I65">
        <f>_xlfn.XLOOKUP(A65,'[1]Forecast 2026'!$A:$A,'[1]Forecast 2026'!$AJ:$AJ,"NA",0,1)</f>
        <v>0</v>
      </c>
      <c r="J65">
        <f t="shared" si="2"/>
        <v>0</v>
      </c>
    </row>
    <row r="66" spans="1:10" hidden="1" x14ac:dyDescent="0.35">
      <c r="A66" t="s">
        <v>143</v>
      </c>
      <c r="B66" t="s">
        <v>144</v>
      </c>
      <c r="C66" t="s">
        <v>113</v>
      </c>
      <c r="D66" t="s">
        <v>114</v>
      </c>
      <c r="E66">
        <v>0</v>
      </c>
      <c r="F66">
        <v>139990</v>
      </c>
      <c r="G66">
        <f t="shared" si="1"/>
        <v>0</v>
      </c>
      <c r="H66">
        <f t="shared" si="0"/>
        <v>0</v>
      </c>
      <c r="I66">
        <f>_xlfn.XLOOKUP(A66,'[1]Forecast 2026'!$A:$A,'[1]Forecast 2026'!$AJ:$AJ,"NA",0,1)</f>
        <v>0</v>
      </c>
      <c r="J66">
        <f t="shared" si="2"/>
        <v>0</v>
      </c>
    </row>
    <row r="67" spans="1:10" hidden="1" x14ac:dyDescent="0.35">
      <c r="A67" t="s">
        <v>145</v>
      </c>
      <c r="B67" t="s">
        <v>146</v>
      </c>
      <c r="C67" t="s">
        <v>113</v>
      </c>
      <c r="D67" t="s">
        <v>114</v>
      </c>
      <c r="E67">
        <v>4</v>
      </c>
      <c r="F67">
        <v>169990</v>
      </c>
      <c r="G67">
        <f t="shared" si="1"/>
        <v>679960</v>
      </c>
      <c r="H67">
        <f t="shared" ref="H67:H130" si="3">E67-G67</f>
        <v>-679956</v>
      </c>
      <c r="I67">
        <f>_xlfn.XLOOKUP(A67,'[1]Forecast 2026'!$A:$A,'[1]Forecast 2026'!$AJ:$AJ,"NA",0,1)</f>
        <v>4</v>
      </c>
      <c r="J67">
        <f t="shared" si="2"/>
        <v>0</v>
      </c>
    </row>
    <row r="68" spans="1:10" hidden="1" x14ac:dyDescent="0.35">
      <c r="A68" t="s">
        <v>147</v>
      </c>
      <c r="B68" t="s">
        <v>148</v>
      </c>
      <c r="C68" t="s">
        <v>113</v>
      </c>
      <c r="D68" t="s">
        <v>149</v>
      </c>
      <c r="E68">
        <v>0</v>
      </c>
      <c r="F68">
        <v>15990</v>
      </c>
      <c r="G68">
        <f t="shared" ref="G68:G131" si="4">F68*E68</f>
        <v>0</v>
      </c>
      <c r="H68">
        <f t="shared" si="3"/>
        <v>0</v>
      </c>
      <c r="I68">
        <f>_xlfn.XLOOKUP(A68,'[1]Forecast 2026'!$A:$A,'[1]Forecast 2026'!$AJ:$AJ,"NA",0,1)</f>
        <v>0</v>
      </c>
      <c r="J68">
        <f t="shared" ref="J68:J131" si="5">IFERROR(E68-I68,"")</f>
        <v>0</v>
      </c>
    </row>
    <row r="69" spans="1:10" hidden="1" x14ac:dyDescent="0.35">
      <c r="A69" t="s">
        <v>150</v>
      </c>
      <c r="B69" t="s">
        <v>151</v>
      </c>
      <c r="C69" t="s">
        <v>113</v>
      </c>
      <c r="D69" t="s">
        <v>114</v>
      </c>
      <c r="E69">
        <v>95</v>
      </c>
      <c r="F69">
        <v>84990</v>
      </c>
      <c r="G69">
        <f t="shared" si="4"/>
        <v>8074050</v>
      </c>
      <c r="H69">
        <f t="shared" si="3"/>
        <v>-8073955</v>
      </c>
      <c r="I69">
        <f>_xlfn.XLOOKUP(A69,'[1]Forecast 2026'!$A:$A,'[1]Forecast 2026'!$AJ:$AJ,"NA",0,1)</f>
        <v>95</v>
      </c>
      <c r="J69">
        <f t="shared" si="5"/>
        <v>0</v>
      </c>
    </row>
    <row r="70" spans="1:10" hidden="1" x14ac:dyDescent="0.35">
      <c r="A70" t="s">
        <v>152</v>
      </c>
      <c r="B70" t="s">
        <v>153</v>
      </c>
      <c r="C70" t="s">
        <v>113</v>
      </c>
      <c r="D70" t="s">
        <v>114</v>
      </c>
      <c r="E70">
        <v>0</v>
      </c>
      <c r="F70">
        <v>39990</v>
      </c>
      <c r="G70">
        <f t="shared" si="4"/>
        <v>0</v>
      </c>
      <c r="H70">
        <f t="shared" si="3"/>
        <v>0</v>
      </c>
      <c r="I70">
        <f>_xlfn.XLOOKUP(A70,'[1]Forecast 2026'!$A:$A,'[1]Forecast 2026'!$AJ:$AJ,"NA",0,1)</f>
        <v>0</v>
      </c>
      <c r="J70">
        <f t="shared" si="5"/>
        <v>0</v>
      </c>
    </row>
    <row r="71" spans="1:10" hidden="1" x14ac:dyDescent="0.35">
      <c r="A71" t="s">
        <v>154</v>
      </c>
      <c r="B71" t="s">
        <v>155</v>
      </c>
      <c r="C71" t="s">
        <v>113</v>
      </c>
      <c r="D71" t="s">
        <v>114</v>
      </c>
      <c r="E71">
        <v>0</v>
      </c>
      <c r="F71">
        <v>29990</v>
      </c>
      <c r="G71">
        <f t="shared" si="4"/>
        <v>0</v>
      </c>
      <c r="H71">
        <f t="shared" si="3"/>
        <v>0</v>
      </c>
      <c r="I71">
        <f>_xlfn.XLOOKUP(A71,'[1]Forecast 2026'!$A:$A,'[1]Forecast 2026'!$AJ:$AJ,"NA",0,1)</f>
        <v>0</v>
      </c>
      <c r="J71">
        <f t="shared" si="5"/>
        <v>0</v>
      </c>
    </row>
    <row r="72" spans="1:10" hidden="1" x14ac:dyDescent="0.35">
      <c r="A72" t="s">
        <v>156</v>
      </c>
      <c r="B72" t="s">
        <v>157</v>
      </c>
      <c r="C72" t="s">
        <v>113</v>
      </c>
      <c r="D72" t="s">
        <v>114</v>
      </c>
      <c r="E72">
        <v>0</v>
      </c>
      <c r="F72">
        <v>22990</v>
      </c>
      <c r="G72">
        <f t="shared" si="4"/>
        <v>0</v>
      </c>
      <c r="H72">
        <f t="shared" si="3"/>
        <v>0</v>
      </c>
      <c r="I72">
        <f>_xlfn.XLOOKUP(A72,'[1]Forecast 2026'!$A:$A,'[1]Forecast 2026'!$AJ:$AJ,"NA",0,1)</f>
        <v>0</v>
      </c>
      <c r="J72">
        <f t="shared" si="5"/>
        <v>0</v>
      </c>
    </row>
    <row r="73" spans="1:10" hidden="1" x14ac:dyDescent="0.35">
      <c r="A73" t="s">
        <v>158</v>
      </c>
      <c r="B73" t="s">
        <v>159</v>
      </c>
      <c r="C73" t="s">
        <v>113</v>
      </c>
      <c r="D73" t="s">
        <v>114</v>
      </c>
      <c r="E73">
        <v>0</v>
      </c>
      <c r="F73">
        <v>10990</v>
      </c>
      <c r="G73">
        <f t="shared" si="4"/>
        <v>0</v>
      </c>
      <c r="H73">
        <f t="shared" si="3"/>
        <v>0</v>
      </c>
      <c r="I73">
        <f>_xlfn.XLOOKUP(A73,'[1]Forecast 2026'!$A:$A,'[1]Forecast 2026'!$AJ:$AJ,"NA",0,1)</f>
        <v>0</v>
      </c>
      <c r="J73">
        <f t="shared" si="5"/>
        <v>0</v>
      </c>
    </row>
    <row r="74" spans="1:10" hidden="1" x14ac:dyDescent="0.35">
      <c r="A74" t="s">
        <v>160</v>
      </c>
      <c r="B74" t="s">
        <v>161</v>
      </c>
      <c r="C74" t="s">
        <v>113</v>
      </c>
      <c r="D74" t="s">
        <v>114</v>
      </c>
      <c r="E74">
        <v>0</v>
      </c>
      <c r="F74">
        <v>10990</v>
      </c>
      <c r="G74">
        <f t="shared" si="4"/>
        <v>0</v>
      </c>
      <c r="H74">
        <f t="shared" si="3"/>
        <v>0</v>
      </c>
      <c r="I74">
        <f>_xlfn.XLOOKUP(A74,'[1]Forecast 2026'!$A:$A,'[1]Forecast 2026'!$AJ:$AJ,"NA",0,1)</f>
        <v>0</v>
      </c>
      <c r="J74">
        <f t="shared" si="5"/>
        <v>0</v>
      </c>
    </row>
    <row r="75" spans="1:10" hidden="1" x14ac:dyDescent="0.35">
      <c r="A75" t="s">
        <v>162</v>
      </c>
      <c r="B75" t="s">
        <v>163</v>
      </c>
      <c r="C75" t="s">
        <v>113</v>
      </c>
      <c r="D75" t="s">
        <v>114</v>
      </c>
      <c r="E75">
        <v>12</v>
      </c>
      <c r="F75">
        <v>2490</v>
      </c>
      <c r="G75">
        <f t="shared" si="4"/>
        <v>29880</v>
      </c>
      <c r="H75">
        <f t="shared" si="3"/>
        <v>-29868</v>
      </c>
      <c r="I75">
        <f>_xlfn.XLOOKUP(A75,'[1]Forecast 2026'!$A:$A,'[1]Forecast 2026'!$AJ:$AJ,"NA",0,1)</f>
        <v>12</v>
      </c>
      <c r="J75">
        <f t="shared" si="5"/>
        <v>0</v>
      </c>
    </row>
    <row r="76" spans="1:10" hidden="1" x14ac:dyDescent="0.35">
      <c r="A76" t="s">
        <v>164</v>
      </c>
      <c r="B76" t="s">
        <v>165</v>
      </c>
      <c r="C76" t="s">
        <v>113</v>
      </c>
      <c r="D76" t="s">
        <v>114</v>
      </c>
      <c r="E76">
        <v>10</v>
      </c>
      <c r="F76">
        <v>2490</v>
      </c>
      <c r="G76">
        <f t="shared" si="4"/>
        <v>24900</v>
      </c>
      <c r="H76">
        <f t="shared" si="3"/>
        <v>-24890</v>
      </c>
      <c r="I76">
        <f>_xlfn.XLOOKUP(A76,'[1]Forecast 2026'!$A:$A,'[1]Forecast 2026'!$AJ:$AJ,"NA",0,1)</f>
        <v>10</v>
      </c>
      <c r="J76">
        <f t="shared" si="5"/>
        <v>0</v>
      </c>
    </row>
    <row r="77" spans="1:10" hidden="1" x14ac:dyDescent="0.35">
      <c r="A77" t="s">
        <v>166</v>
      </c>
      <c r="B77" t="s">
        <v>167</v>
      </c>
      <c r="C77" t="s">
        <v>113</v>
      </c>
      <c r="D77" t="s">
        <v>114</v>
      </c>
      <c r="E77">
        <v>25</v>
      </c>
      <c r="F77">
        <v>2490</v>
      </c>
      <c r="G77">
        <f t="shared" si="4"/>
        <v>62250</v>
      </c>
      <c r="H77">
        <f t="shared" si="3"/>
        <v>-62225</v>
      </c>
      <c r="I77">
        <f>_xlfn.XLOOKUP(A77,'[1]Forecast 2026'!$A:$A,'[1]Forecast 2026'!$AJ:$AJ,"NA",0,1)</f>
        <v>25</v>
      </c>
      <c r="J77">
        <f t="shared" si="5"/>
        <v>0</v>
      </c>
    </row>
    <row r="78" spans="1:10" hidden="1" x14ac:dyDescent="0.35">
      <c r="A78" t="s">
        <v>168</v>
      </c>
      <c r="B78" t="s">
        <v>169</v>
      </c>
      <c r="C78" t="s">
        <v>113</v>
      </c>
      <c r="D78" t="s">
        <v>114</v>
      </c>
      <c r="E78">
        <v>19</v>
      </c>
      <c r="F78">
        <v>2490</v>
      </c>
      <c r="G78">
        <f t="shared" si="4"/>
        <v>47310</v>
      </c>
      <c r="H78">
        <f t="shared" si="3"/>
        <v>-47291</v>
      </c>
      <c r="I78">
        <f>_xlfn.XLOOKUP(A78,'[1]Forecast 2026'!$A:$A,'[1]Forecast 2026'!$AJ:$AJ,"NA",0,1)</f>
        <v>19</v>
      </c>
      <c r="J78">
        <f t="shared" si="5"/>
        <v>0</v>
      </c>
    </row>
    <row r="79" spans="1:10" hidden="1" x14ac:dyDescent="0.35">
      <c r="A79" t="s">
        <v>170</v>
      </c>
      <c r="B79" t="s">
        <v>171</v>
      </c>
      <c r="C79" t="s">
        <v>113</v>
      </c>
      <c r="D79" t="s">
        <v>114</v>
      </c>
      <c r="E79">
        <v>27</v>
      </c>
      <c r="F79">
        <v>2490</v>
      </c>
      <c r="G79">
        <f t="shared" si="4"/>
        <v>67230</v>
      </c>
      <c r="H79">
        <f t="shared" si="3"/>
        <v>-67203</v>
      </c>
      <c r="I79">
        <f>_xlfn.XLOOKUP(A79,'[1]Forecast 2026'!$A:$A,'[1]Forecast 2026'!$AJ:$AJ,"NA",0,1)</f>
        <v>27</v>
      </c>
      <c r="J79">
        <f t="shared" si="5"/>
        <v>0</v>
      </c>
    </row>
    <row r="80" spans="1:10" hidden="1" x14ac:dyDescent="0.35">
      <c r="A80" t="s">
        <v>172</v>
      </c>
      <c r="B80" t="s">
        <v>173</v>
      </c>
      <c r="C80" t="s">
        <v>113</v>
      </c>
      <c r="D80" t="s">
        <v>114</v>
      </c>
      <c r="E80">
        <v>14</v>
      </c>
      <c r="F80">
        <v>2490</v>
      </c>
      <c r="G80">
        <f t="shared" si="4"/>
        <v>34860</v>
      </c>
      <c r="H80">
        <f t="shared" si="3"/>
        <v>-34846</v>
      </c>
      <c r="I80">
        <f>_xlfn.XLOOKUP(A80,'[1]Forecast 2026'!$A:$A,'[1]Forecast 2026'!$AJ:$AJ,"NA",0,1)</f>
        <v>14</v>
      </c>
      <c r="J80">
        <f t="shared" si="5"/>
        <v>0</v>
      </c>
    </row>
    <row r="81" spans="1:10" hidden="1" x14ac:dyDescent="0.35">
      <c r="A81" t="s">
        <v>174</v>
      </c>
      <c r="B81" t="s">
        <v>175</v>
      </c>
      <c r="C81" t="s">
        <v>113</v>
      </c>
      <c r="D81" t="s">
        <v>114</v>
      </c>
      <c r="E81">
        <v>30</v>
      </c>
      <c r="F81">
        <v>2490</v>
      </c>
      <c r="G81">
        <f t="shared" si="4"/>
        <v>74700</v>
      </c>
      <c r="H81">
        <f t="shared" si="3"/>
        <v>-74670</v>
      </c>
      <c r="I81">
        <f>_xlfn.XLOOKUP(A81,'[1]Forecast 2026'!$A:$A,'[1]Forecast 2026'!$AJ:$AJ,"NA",0,1)</f>
        <v>30</v>
      </c>
      <c r="J81">
        <f t="shared" si="5"/>
        <v>0</v>
      </c>
    </row>
    <row r="82" spans="1:10" hidden="1" x14ac:dyDescent="0.35">
      <c r="A82" t="s">
        <v>176</v>
      </c>
      <c r="B82" t="s">
        <v>177</v>
      </c>
      <c r="C82" t="s">
        <v>113</v>
      </c>
      <c r="D82" t="s">
        <v>114</v>
      </c>
      <c r="E82">
        <v>12</v>
      </c>
      <c r="F82">
        <v>2490</v>
      </c>
      <c r="G82">
        <f t="shared" si="4"/>
        <v>29880</v>
      </c>
      <c r="H82">
        <f t="shared" si="3"/>
        <v>-29868</v>
      </c>
      <c r="I82">
        <f>_xlfn.XLOOKUP(A82,'[1]Forecast 2026'!$A:$A,'[1]Forecast 2026'!$AJ:$AJ,"NA",0,1)</f>
        <v>12</v>
      </c>
      <c r="J82">
        <f t="shared" si="5"/>
        <v>0</v>
      </c>
    </row>
    <row r="83" spans="1:10" hidden="1" x14ac:dyDescent="0.35">
      <c r="A83" t="s">
        <v>178</v>
      </c>
      <c r="B83" t="s">
        <v>179</v>
      </c>
      <c r="C83" t="s">
        <v>113</v>
      </c>
      <c r="D83" t="s">
        <v>114</v>
      </c>
      <c r="E83">
        <v>10</v>
      </c>
      <c r="F83">
        <v>199990</v>
      </c>
      <c r="G83">
        <f t="shared" si="4"/>
        <v>1999900</v>
      </c>
      <c r="H83">
        <f t="shared" si="3"/>
        <v>-1999890</v>
      </c>
      <c r="I83">
        <f>_xlfn.XLOOKUP(A83,'[1]Forecast 2026'!$A:$A,'[1]Forecast 2026'!$AJ:$AJ,"NA",0,1)</f>
        <v>10</v>
      </c>
      <c r="J83">
        <f t="shared" si="5"/>
        <v>0</v>
      </c>
    </row>
    <row r="84" spans="1:10" hidden="1" x14ac:dyDescent="0.35">
      <c r="A84" t="s">
        <v>180</v>
      </c>
      <c r="B84" t="s">
        <v>181</v>
      </c>
      <c r="C84" t="s">
        <v>113</v>
      </c>
      <c r="D84" t="s">
        <v>114</v>
      </c>
      <c r="E84">
        <v>11</v>
      </c>
      <c r="F84">
        <v>239990</v>
      </c>
      <c r="G84">
        <f t="shared" si="4"/>
        <v>2639890</v>
      </c>
      <c r="H84">
        <f t="shared" si="3"/>
        <v>-2639879</v>
      </c>
      <c r="I84">
        <f>_xlfn.XLOOKUP(A84,'[1]Forecast 2026'!$A:$A,'[1]Forecast 2026'!$AJ:$AJ,"NA",0,1)</f>
        <v>11</v>
      </c>
      <c r="J84">
        <f t="shared" si="5"/>
        <v>0</v>
      </c>
    </row>
    <row r="85" spans="1:10" hidden="1" x14ac:dyDescent="0.35">
      <c r="A85" t="s">
        <v>182</v>
      </c>
      <c r="B85" t="s">
        <v>183</v>
      </c>
      <c r="C85" t="s">
        <v>113</v>
      </c>
      <c r="D85" t="s">
        <v>114</v>
      </c>
      <c r="E85">
        <v>0</v>
      </c>
      <c r="F85">
        <v>49990</v>
      </c>
      <c r="G85">
        <f t="shared" si="4"/>
        <v>0</v>
      </c>
      <c r="H85">
        <f t="shared" si="3"/>
        <v>0</v>
      </c>
      <c r="I85">
        <f>_xlfn.XLOOKUP(A85,'[1]Forecast 2026'!$A:$A,'[1]Forecast 2026'!$AJ:$AJ,"NA",0,1)</f>
        <v>0</v>
      </c>
      <c r="J85">
        <f t="shared" si="5"/>
        <v>0</v>
      </c>
    </row>
    <row r="86" spans="1:10" hidden="1" x14ac:dyDescent="0.35">
      <c r="A86" t="s">
        <v>184</v>
      </c>
      <c r="B86" t="s">
        <v>185</v>
      </c>
      <c r="C86" t="s">
        <v>113</v>
      </c>
      <c r="D86" t="s">
        <v>114</v>
      </c>
      <c r="E86">
        <v>32</v>
      </c>
      <c r="F86">
        <v>54990</v>
      </c>
      <c r="G86">
        <f t="shared" si="4"/>
        <v>1759680</v>
      </c>
      <c r="H86">
        <f t="shared" si="3"/>
        <v>-1759648</v>
      </c>
      <c r="I86">
        <f>_xlfn.XLOOKUP(A86,'[1]Forecast 2026'!$A:$A,'[1]Forecast 2026'!$AJ:$AJ,"NA",0,1)</f>
        <v>32</v>
      </c>
      <c r="J86">
        <f t="shared" si="5"/>
        <v>0</v>
      </c>
    </row>
    <row r="87" spans="1:10" hidden="1" x14ac:dyDescent="0.35">
      <c r="A87" t="s">
        <v>186</v>
      </c>
      <c r="B87" t="s">
        <v>187</v>
      </c>
      <c r="C87" t="s">
        <v>113</v>
      </c>
      <c r="D87" t="s">
        <v>114</v>
      </c>
      <c r="E87">
        <v>14</v>
      </c>
      <c r="F87">
        <v>26990</v>
      </c>
      <c r="G87">
        <f t="shared" si="4"/>
        <v>377860</v>
      </c>
      <c r="H87">
        <f t="shared" si="3"/>
        <v>-377846</v>
      </c>
      <c r="I87">
        <f>_xlfn.XLOOKUP(A87,'[1]Forecast 2026'!$A:$A,'[1]Forecast 2026'!$AJ:$AJ,"NA",0,1)</f>
        <v>14</v>
      </c>
      <c r="J87">
        <f t="shared" si="5"/>
        <v>0</v>
      </c>
    </row>
    <row r="88" spans="1:10" hidden="1" x14ac:dyDescent="0.35">
      <c r="A88" t="s">
        <v>188</v>
      </c>
      <c r="B88" t="s">
        <v>189</v>
      </c>
      <c r="C88" t="s">
        <v>113</v>
      </c>
      <c r="D88" t="s">
        <v>114</v>
      </c>
      <c r="E88">
        <v>10</v>
      </c>
      <c r="F88">
        <v>19990</v>
      </c>
      <c r="G88">
        <f t="shared" si="4"/>
        <v>199900</v>
      </c>
      <c r="H88">
        <f t="shared" si="3"/>
        <v>-199890</v>
      </c>
      <c r="I88">
        <f>_xlfn.XLOOKUP(A88,'[1]Forecast 2026'!$A:$A,'[1]Forecast 2026'!$AJ:$AJ,"NA",0,1)</f>
        <v>10</v>
      </c>
      <c r="J88">
        <f t="shared" si="5"/>
        <v>0</v>
      </c>
    </row>
    <row r="89" spans="1:10" hidden="1" x14ac:dyDescent="0.35">
      <c r="A89" t="s">
        <v>190</v>
      </c>
      <c r="B89" t="s">
        <v>191</v>
      </c>
      <c r="C89" t="s">
        <v>113</v>
      </c>
      <c r="D89" t="s">
        <v>114</v>
      </c>
      <c r="E89">
        <v>3</v>
      </c>
      <c r="F89">
        <v>14990</v>
      </c>
      <c r="G89">
        <f t="shared" si="4"/>
        <v>44970</v>
      </c>
      <c r="H89">
        <f t="shared" si="3"/>
        <v>-44967</v>
      </c>
      <c r="I89">
        <f>_xlfn.XLOOKUP(A89,'[1]Forecast 2026'!$A:$A,'[1]Forecast 2026'!$AJ:$AJ,"NA",0,1)</f>
        <v>3</v>
      </c>
      <c r="J89">
        <f t="shared" si="5"/>
        <v>0</v>
      </c>
    </row>
    <row r="90" spans="1:10" hidden="1" x14ac:dyDescent="0.35">
      <c r="A90" t="s">
        <v>192</v>
      </c>
      <c r="B90" t="s">
        <v>193</v>
      </c>
      <c r="C90" t="s">
        <v>113</v>
      </c>
      <c r="D90" t="s">
        <v>114</v>
      </c>
      <c r="E90">
        <v>15</v>
      </c>
      <c r="F90">
        <v>19990</v>
      </c>
      <c r="G90">
        <f t="shared" si="4"/>
        <v>299850</v>
      </c>
      <c r="H90">
        <f t="shared" si="3"/>
        <v>-299835</v>
      </c>
      <c r="I90">
        <f>_xlfn.XLOOKUP(A90,'[1]Forecast 2026'!$A:$A,'[1]Forecast 2026'!$AJ:$AJ,"NA",0,1)</f>
        <v>15</v>
      </c>
      <c r="J90">
        <f t="shared" si="5"/>
        <v>0</v>
      </c>
    </row>
    <row r="91" spans="1:10" hidden="1" x14ac:dyDescent="0.35">
      <c r="A91" t="s">
        <v>194</v>
      </c>
      <c r="B91" t="s">
        <v>195</v>
      </c>
      <c r="C91" t="s">
        <v>113</v>
      </c>
      <c r="D91" t="s">
        <v>114</v>
      </c>
      <c r="E91">
        <v>0</v>
      </c>
      <c r="F91">
        <v>169990</v>
      </c>
      <c r="G91">
        <f t="shared" si="4"/>
        <v>0</v>
      </c>
      <c r="H91">
        <f t="shared" si="3"/>
        <v>0</v>
      </c>
      <c r="I91">
        <f>_xlfn.XLOOKUP(A91,'[1]Forecast 2026'!$A:$A,'[1]Forecast 2026'!$AJ:$AJ,"NA",0,1)</f>
        <v>0</v>
      </c>
      <c r="J91">
        <f t="shared" si="5"/>
        <v>0</v>
      </c>
    </row>
    <row r="92" spans="1:10" hidden="1" x14ac:dyDescent="0.35">
      <c r="A92" t="s">
        <v>196</v>
      </c>
      <c r="B92" t="s">
        <v>197</v>
      </c>
      <c r="C92" t="s">
        <v>113</v>
      </c>
      <c r="D92" t="s">
        <v>114</v>
      </c>
      <c r="E92">
        <v>0</v>
      </c>
      <c r="F92">
        <v>149990</v>
      </c>
      <c r="G92">
        <f t="shared" si="4"/>
        <v>0</v>
      </c>
      <c r="H92">
        <f t="shared" si="3"/>
        <v>0</v>
      </c>
      <c r="I92">
        <f>_xlfn.XLOOKUP(A92,'[1]Forecast 2026'!$A:$A,'[1]Forecast 2026'!$AJ:$AJ,"NA",0,1)</f>
        <v>0</v>
      </c>
      <c r="J92">
        <f t="shared" si="5"/>
        <v>0</v>
      </c>
    </row>
    <row r="93" spans="1:10" hidden="1" x14ac:dyDescent="0.35">
      <c r="A93" t="s">
        <v>198</v>
      </c>
      <c r="B93" t="s">
        <v>199</v>
      </c>
      <c r="C93" t="s">
        <v>113</v>
      </c>
      <c r="D93" t="s">
        <v>114</v>
      </c>
      <c r="E93">
        <v>0</v>
      </c>
      <c r="F93">
        <v>189990</v>
      </c>
      <c r="G93">
        <f t="shared" si="4"/>
        <v>0</v>
      </c>
      <c r="H93">
        <f t="shared" si="3"/>
        <v>0</v>
      </c>
      <c r="I93">
        <f>_xlfn.XLOOKUP(A93,'[1]Forecast 2026'!$A:$A,'[1]Forecast 2026'!$AJ:$AJ,"NA",0,1)</f>
        <v>0</v>
      </c>
      <c r="J93">
        <f t="shared" si="5"/>
        <v>0</v>
      </c>
    </row>
    <row r="94" spans="1:10" hidden="1" x14ac:dyDescent="0.35">
      <c r="A94" t="s">
        <v>200</v>
      </c>
      <c r="B94" t="s">
        <v>201</v>
      </c>
      <c r="C94" t="s">
        <v>113</v>
      </c>
      <c r="D94" t="s">
        <v>114</v>
      </c>
      <c r="E94">
        <v>2</v>
      </c>
      <c r="F94">
        <v>189990</v>
      </c>
      <c r="G94">
        <f t="shared" si="4"/>
        <v>379980</v>
      </c>
      <c r="H94">
        <f t="shared" si="3"/>
        <v>-379978</v>
      </c>
      <c r="I94">
        <f>_xlfn.XLOOKUP(A94,'[1]Forecast 2026'!$A:$A,'[1]Forecast 2026'!$AJ:$AJ,"NA",0,1)</f>
        <v>2</v>
      </c>
      <c r="J94">
        <f t="shared" si="5"/>
        <v>0</v>
      </c>
    </row>
    <row r="95" spans="1:10" hidden="1" x14ac:dyDescent="0.35">
      <c r="A95" t="s">
        <v>202</v>
      </c>
      <c r="B95" t="s">
        <v>203</v>
      </c>
      <c r="C95" t="s">
        <v>113</v>
      </c>
      <c r="D95" t="s">
        <v>114</v>
      </c>
      <c r="E95">
        <v>11</v>
      </c>
      <c r="F95">
        <v>189990</v>
      </c>
      <c r="G95">
        <f t="shared" si="4"/>
        <v>2089890</v>
      </c>
      <c r="H95">
        <f t="shared" si="3"/>
        <v>-2089879</v>
      </c>
      <c r="I95">
        <f>_xlfn.XLOOKUP(A95,'[1]Forecast 2026'!$A:$A,'[1]Forecast 2026'!$AJ:$AJ,"NA",0,1)</f>
        <v>11</v>
      </c>
      <c r="J95">
        <f t="shared" si="5"/>
        <v>0</v>
      </c>
    </row>
    <row r="96" spans="1:10" hidden="1" x14ac:dyDescent="0.35">
      <c r="A96" t="s">
        <v>204</v>
      </c>
      <c r="B96" t="s">
        <v>205</v>
      </c>
      <c r="C96" t="s">
        <v>113</v>
      </c>
      <c r="D96" t="s">
        <v>114</v>
      </c>
      <c r="E96">
        <v>4</v>
      </c>
      <c r="F96">
        <v>209990</v>
      </c>
      <c r="G96">
        <f t="shared" si="4"/>
        <v>839960</v>
      </c>
      <c r="H96">
        <f t="shared" si="3"/>
        <v>-839956</v>
      </c>
      <c r="I96">
        <f>_xlfn.XLOOKUP(A96,'[1]Forecast 2026'!$A:$A,'[1]Forecast 2026'!$AJ:$AJ,"NA",0,1)</f>
        <v>4</v>
      </c>
      <c r="J96">
        <f t="shared" si="5"/>
        <v>0</v>
      </c>
    </row>
    <row r="97" spans="1:10" hidden="1" x14ac:dyDescent="0.35">
      <c r="A97" t="s">
        <v>206</v>
      </c>
      <c r="B97" t="s">
        <v>207</v>
      </c>
      <c r="C97" t="s">
        <v>113</v>
      </c>
      <c r="D97" t="s">
        <v>114</v>
      </c>
      <c r="E97">
        <v>0</v>
      </c>
      <c r="F97">
        <v>209990</v>
      </c>
      <c r="G97">
        <f t="shared" si="4"/>
        <v>0</v>
      </c>
      <c r="H97">
        <f t="shared" si="3"/>
        <v>0</v>
      </c>
      <c r="I97">
        <f>_xlfn.XLOOKUP(A97,'[1]Forecast 2026'!$A:$A,'[1]Forecast 2026'!$AJ:$AJ,"NA",0,1)</f>
        <v>0</v>
      </c>
      <c r="J97">
        <f t="shared" si="5"/>
        <v>0</v>
      </c>
    </row>
    <row r="98" spans="1:10" hidden="1" x14ac:dyDescent="0.35">
      <c r="A98" t="s">
        <v>208</v>
      </c>
      <c r="B98" t="s">
        <v>209</v>
      </c>
      <c r="C98" t="s">
        <v>113</v>
      </c>
      <c r="D98" t="s">
        <v>114</v>
      </c>
      <c r="E98">
        <v>0</v>
      </c>
      <c r="F98">
        <v>9990</v>
      </c>
      <c r="G98">
        <f t="shared" si="4"/>
        <v>0</v>
      </c>
      <c r="H98">
        <f t="shared" si="3"/>
        <v>0</v>
      </c>
      <c r="I98">
        <f>_xlfn.XLOOKUP(A98,'[1]Forecast 2026'!$A:$A,'[1]Forecast 2026'!$AJ:$AJ,"NA",0,1)</f>
        <v>0</v>
      </c>
      <c r="J98">
        <f t="shared" si="5"/>
        <v>0</v>
      </c>
    </row>
    <row r="99" spans="1:10" hidden="1" x14ac:dyDescent="0.35">
      <c r="A99" t="s">
        <v>210</v>
      </c>
      <c r="B99" t="s">
        <v>211</v>
      </c>
      <c r="C99" t="s">
        <v>113</v>
      </c>
      <c r="D99" t="s">
        <v>114</v>
      </c>
      <c r="E99">
        <v>16</v>
      </c>
      <c r="F99">
        <v>64990</v>
      </c>
      <c r="G99">
        <f t="shared" si="4"/>
        <v>1039840</v>
      </c>
      <c r="H99">
        <f t="shared" si="3"/>
        <v>-1039824</v>
      </c>
      <c r="I99">
        <f>_xlfn.XLOOKUP(A99,'[1]Forecast 2026'!$A:$A,'[1]Forecast 2026'!$AJ:$AJ,"NA",0,1)</f>
        <v>16</v>
      </c>
      <c r="J99">
        <f t="shared" si="5"/>
        <v>0</v>
      </c>
    </row>
    <row r="100" spans="1:10" hidden="1" x14ac:dyDescent="0.35">
      <c r="A100" t="s">
        <v>212</v>
      </c>
      <c r="B100" t="s">
        <v>213</v>
      </c>
      <c r="C100" t="s">
        <v>113</v>
      </c>
      <c r="D100" t="s">
        <v>114</v>
      </c>
      <c r="E100">
        <v>0</v>
      </c>
      <c r="F100">
        <v>169990</v>
      </c>
      <c r="G100">
        <f t="shared" si="4"/>
        <v>0</v>
      </c>
      <c r="H100">
        <f t="shared" si="3"/>
        <v>0</v>
      </c>
      <c r="I100">
        <f>_xlfn.XLOOKUP(A100,'[1]Forecast 2026'!$A:$A,'[1]Forecast 2026'!$AJ:$AJ,"NA",0,1)</f>
        <v>0</v>
      </c>
      <c r="J100">
        <f t="shared" si="5"/>
        <v>0</v>
      </c>
    </row>
    <row r="101" spans="1:10" hidden="1" x14ac:dyDescent="0.35">
      <c r="A101" t="s">
        <v>214</v>
      </c>
      <c r="B101" t="s">
        <v>215</v>
      </c>
      <c r="C101" t="s">
        <v>113</v>
      </c>
      <c r="D101" t="s">
        <v>114</v>
      </c>
      <c r="E101">
        <v>0</v>
      </c>
      <c r="F101">
        <v>209990</v>
      </c>
      <c r="G101">
        <f t="shared" si="4"/>
        <v>0</v>
      </c>
      <c r="H101">
        <f t="shared" si="3"/>
        <v>0</v>
      </c>
      <c r="I101">
        <f>_xlfn.XLOOKUP(A101,'[1]Forecast 2026'!$A:$A,'[1]Forecast 2026'!$AJ:$AJ,"NA",0,1)</f>
        <v>0</v>
      </c>
      <c r="J101">
        <f t="shared" si="5"/>
        <v>0</v>
      </c>
    </row>
    <row r="102" spans="1:10" hidden="1" x14ac:dyDescent="0.35">
      <c r="A102" t="s">
        <v>216</v>
      </c>
      <c r="B102" t="s">
        <v>217</v>
      </c>
      <c r="C102" t="s">
        <v>113</v>
      </c>
      <c r="D102" t="s">
        <v>114</v>
      </c>
      <c r="E102">
        <v>0</v>
      </c>
      <c r="F102">
        <v>209990</v>
      </c>
      <c r="G102">
        <f t="shared" si="4"/>
        <v>0</v>
      </c>
      <c r="H102">
        <f t="shared" si="3"/>
        <v>0</v>
      </c>
      <c r="I102">
        <f>_xlfn.XLOOKUP(A102,'[1]Forecast 2026'!$A:$A,'[1]Forecast 2026'!$AJ:$AJ,"NA",0,1)</f>
        <v>0</v>
      </c>
      <c r="J102">
        <f t="shared" si="5"/>
        <v>0</v>
      </c>
    </row>
    <row r="103" spans="1:10" hidden="1" x14ac:dyDescent="0.35">
      <c r="A103" t="s">
        <v>218</v>
      </c>
      <c r="B103" t="s">
        <v>219</v>
      </c>
      <c r="C103" t="s">
        <v>113</v>
      </c>
      <c r="D103" t="s">
        <v>114</v>
      </c>
      <c r="E103">
        <v>0</v>
      </c>
      <c r="F103">
        <v>209990</v>
      </c>
      <c r="G103">
        <f t="shared" si="4"/>
        <v>0</v>
      </c>
      <c r="H103">
        <f t="shared" si="3"/>
        <v>0</v>
      </c>
      <c r="I103">
        <f>_xlfn.XLOOKUP(A103,'[1]Forecast 2026'!$A:$A,'[1]Forecast 2026'!$AJ:$AJ,"NA",0,1)</f>
        <v>0</v>
      </c>
      <c r="J103">
        <f t="shared" si="5"/>
        <v>0</v>
      </c>
    </row>
    <row r="104" spans="1:10" hidden="1" x14ac:dyDescent="0.35">
      <c r="A104" t="s">
        <v>220</v>
      </c>
      <c r="B104" t="s">
        <v>221</v>
      </c>
      <c r="C104" t="s">
        <v>113</v>
      </c>
      <c r="D104" t="s">
        <v>114</v>
      </c>
      <c r="E104">
        <v>0</v>
      </c>
      <c r="F104">
        <v>229990</v>
      </c>
      <c r="G104">
        <f t="shared" si="4"/>
        <v>0</v>
      </c>
      <c r="H104">
        <f t="shared" si="3"/>
        <v>0</v>
      </c>
      <c r="I104">
        <f>_xlfn.XLOOKUP(A104,'[1]Forecast 2026'!$A:$A,'[1]Forecast 2026'!$AJ:$AJ,"NA",0,1)</f>
        <v>0</v>
      </c>
      <c r="J104">
        <f t="shared" si="5"/>
        <v>0</v>
      </c>
    </row>
    <row r="105" spans="1:10" hidden="1" x14ac:dyDescent="0.35">
      <c r="A105" t="s">
        <v>222</v>
      </c>
      <c r="B105" t="s">
        <v>223</v>
      </c>
      <c r="C105" t="s">
        <v>113</v>
      </c>
      <c r="D105" t="s">
        <v>114</v>
      </c>
      <c r="E105">
        <v>0</v>
      </c>
      <c r="F105">
        <v>229990</v>
      </c>
      <c r="G105">
        <f t="shared" si="4"/>
        <v>0</v>
      </c>
      <c r="H105">
        <f t="shared" si="3"/>
        <v>0</v>
      </c>
      <c r="I105">
        <f>_xlfn.XLOOKUP(A105,'[1]Forecast 2026'!$A:$A,'[1]Forecast 2026'!$AJ:$AJ,"NA",0,1)</f>
        <v>0</v>
      </c>
      <c r="J105">
        <f t="shared" si="5"/>
        <v>0</v>
      </c>
    </row>
    <row r="106" spans="1:10" hidden="1" x14ac:dyDescent="0.35">
      <c r="A106" t="s">
        <v>224</v>
      </c>
      <c r="B106" t="s">
        <v>225</v>
      </c>
      <c r="C106" t="s">
        <v>113</v>
      </c>
      <c r="D106" t="s">
        <v>114</v>
      </c>
      <c r="E106">
        <v>0</v>
      </c>
      <c r="F106">
        <v>79990</v>
      </c>
      <c r="G106">
        <f t="shared" si="4"/>
        <v>0</v>
      </c>
      <c r="H106">
        <f t="shared" si="3"/>
        <v>0</v>
      </c>
      <c r="I106">
        <f>_xlfn.XLOOKUP(A106,'[1]Forecast 2026'!$A:$A,'[1]Forecast 2026'!$AJ:$AJ,"NA",0,1)</f>
        <v>0</v>
      </c>
      <c r="J106">
        <f t="shared" si="5"/>
        <v>0</v>
      </c>
    </row>
    <row r="107" spans="1:10" hidden="1" x14ac:dyDescent="0.35">
      <c r="A107" t="s">
        <v>226</v>
      </c>
      <c r="B107" t="s">
        <v>227</v>
      </c>
      <c r="C107" t="s">
        <v>113</v>
      </c>
      <c r="D107" t="s">
        <v>114</v>
      </c>
      <c r="E107">
        <v>0</v>
      </c>
      <c r="F107">
        <v>129990</v>
      </c>
      <c r="G107">
        <f t="shared" si="4"/>
        <v>0</v>
      </c>
      <c r="H107">
        <f t="shared" si="3"/>
        <v>0</v>
      </c>
      <c r="I107">
        <f>_xlfn.XLOOKUP(A107,'[1]Forecast 2026'!$A:$A,'[1]Forecast 2026'!$AJ:$AJ,"NA",0,1)</f>
        <v>0</v>
      </c>
      <c r="J107">
        <f t="shared" si="5"/>
        <v>0</v>
      </c>
    </row>
    <row r="108" spans="1:10" hidden="1" x14ac:dyDescent="0.35">
      <c r="A108" t="s">
        <v>228</v>
      </c>
      <c r="B108" t="s">
        <v>229</v>
      </c>
      <c r="C108" t="s">
        <v>113</v>
      </c>
      <c r="D108" t="s">
        <v>114</v>
      </c>
      <c r="E108">
        <v>0</v>
      </c>
      <c r="F108">
        <v>149990</v>
      </c>
      <c r="G108">
        <f t="shared" si="4"/>
        <v>0</v>
      </c>
      <c r="H108">
        <f t="shared" si="3"/>
        <v>0</v>
      </c>
      <c r="I108">
        <f>_xlfn.XLOOKUP(A108,'[1]Forecast 2026'!$A:$A,'[1]Forecast 2026'!$AJ:$AJ,"NA",0,1)</f>
        <v>0</v>
      </c>
      <c r="J108">
        <f t="shared" si="5"/>
        <v>0</v>
      </c>
    </row>
    <row r="109" spans="1:10" hidden="1" x14ac:dyDescent="0.35">
      <c r="A109" t="s">
        <v>230</v>
      </c>
      <c r="B109" t="s">
        <v>231</v>
      </c>
      <c r="C109" t="s">
        <v>113</v>
      </c>
      <c r="D109" t="s">
        <v>114</v>
      </c>
      <c r="E109">
        <v>0</v>
      </c>
      <c r="F109">
        <v>35990</v>
      </c>
      <c r="G109">
        <f t="shared" si="4"/>
        <v>0</v>
      </c>
      <c r="H109">
        <f t="shared" si="3"/>
        <v>0</v>
      </c>
      <c r="I109">
        <f>_xlfn.XLOOKUP(A109,'[1]Forecast 2026'!$A:$A,'[1]Forecast 2026'!$AJ:$AJ,"NA",0,1)</f>
        <v>0</v>
      </c>
      <c r="J109">
        <f t="shared" si="5"/>
        <v>0</v>
      </c>
    </row>
    <row r="110" spans="1:10" hidden="1" x14ac:dyDescent="0.35">
      <c r="A110" t="s">
        <v>232</v>
      </c>
      <c r="B110" t="s">
        <v>233</v>
      </c>
      <c r="C110" t="s">
        <v>113</v>
      </c>
      <c r="D110" t="s">
        <v>149</v>
      </c>
      <c r="E110">
        <v>15</v>
      </c>
      <c r="F110">
        <v>12990</v>
      </c>
      <c r="G110">
        <f t="shared" si="4"/>
        <v>194850</v>
      </c>
      <c r="H110">
        <f t="shared" si="3"/>
        <v>-194835</v>
      </c>
      <c r="I110">
        <f>_xlfn.XLOOKUP(A110,'[1]Forecast 2026'!$A:$A,'[1]Forecast 2026'!$AJ:$AJ,"NA",0,1)</f>
        <v>15</v>
      </c>
      <c r="J110">
        <f t="shared" si="5"/>
        <v>0</v>
      </c>
    </row>
    <row r="111" spans="1:10" hidden="1" x14ac:dyDescent="0.35">
      <c r="A111" t="s">
        <v>234</v>
      </c>
      <c r="B111" t="s">
        <v>235</v>
      </c>
      <c r="C111" t="s">
        <v>113</v>
      </c>
      <c r="D111" t="s">
        <v>149</v>
      </c>
      <c r="E111">
        <v>0</v>
      </c>
      <c r="F111">
        <v>34990</v>
      </c>
      <c r="G111">
        <f t="shared" si="4"/>
        <v>0</v>
      </c>
      <c r="H111">
        <f t="shared" si="3"/>
        <v>0</v>
      </c>
      <c r="I111">
        <f>_xlfn.XLOOKUP(A111,'[1]Forecast 2026'!$A:$A,'[1]Forecast 2026'!$AJ:$AJ,"NA",0,1)</f>
        <v>0</v>
      </c>
      <c r="J111">
        <f t="shared" si="5"/>
        <v>0</v>
      </c>
    </row>
    <row r="112" spans="1:10" hidden="1" x14ac:dyDescent="0.35">
      <c r="A112" t="s">
        <v>236</v>
      </c>
      <c r="B112" t="s">
        <v>237</v>
      </c>
      <c r="C112" t="s">
        <v>113</v>
      </c>
      <c r="D112" t="s">
        <v>114</v>
      </c>
      <c r="E112">
        <v>100</v>
      </c>
      <c r="F112">
        <v>15990</v>
      </c>
      <c r="G112">
        <f t="shared" si="4"/>
        <v>1599000</v>
      </c>
      <c r="H112">
        <f t="shared" si="3"/>
        <v>-1598900</v>
      </c>
      <c r="I112">
        <f>_xlfn.XLOOKUP(A112,'[1]Forecast 2026'!$A:$A,'[1]Forecast 2026'!$AJ:$AJ,"NA",0,1)</f>
        <v>100</v>
      </c>
      <c r="J112">
        <f t="shared" si="5"/>
        <v>0</v>
      </c>
    </row>
    <row r="113" spans="1:10" hidden="1" x14ac:dyDescent="0.35">
      <c r="A113" t="s">
        <v>238</v>
      </c>
      <c r="B113" t="s">
        <v>239</v>
      </c>
      <c r="C113" t="s">
        <v>113</v>
      </c>
      <c r="D113" t="s">
        <v>114</v>
      </c>
      <c r="E113">
        <v>35</v>
      </c>
      <c r="F113">
        <v>24990</v>
      </c>
      <c r="G113">
        <f t="shared" si="4"/>
        <v>874650</v>
      </c>
      <c r="H113">
        <f t="shared" si="3"/>
        <v>-874615</v>
      </c>
      <c r="I113">
        <f>_xlfn.XLOOKUP(A113,'[1]Forecast 2026'!$A:$A,'[1]Forecast 2026'!$AJ:$AJ,"NA",0,1)</f>
        <v>35</v>
      </c>
      <c r="J113">
        <f t="shared" si="5"/>
        <v>0</v>
      </c>
    </row>
    <row r="114" spans="1:10" hidden="1" x14ac:dyDescent="0.35">
      <c r="A114" t="s">
        <v>240</v>
      </c>
      <c r="B114" t="s">
        <v>241</v>
      </c>
      <c r="C114" t="s">
        <v>113</v>
      </c>
      <c r="D114" t="s">
        <v>114</v>
      </c>
      <c r="E114">
        <v>0</v>
      </c>
      <c r="F114">
        <v>59990</v>
      </c>
      <c r="G114">
        <f t="shared" si="4"/>
        <v>0</v>
      </c>
      <c r="H114">
        <f t="shared" si="3"/>
        <v>0</v>
      </c>
      <c r="I114">
        <f>_xlfn.XLOOKUP(A114,'[1]Forecast 2026'!$A:$A,'[1]Forecast 2026'!$AJ:$AJ,"NA",0,1)</f>
        <v>0</v>
      </c>
      <c r="J114">
        <f t="shared" si="5"/>
        <v>0</v>
      </c>
    </row>
    <row r="115" spans="1:10" hidden="1" x14ac:dyDescent="0.35">
      <c r="A115" t="s">
        <v>242</v>
      </c>
      <c r="B115" t="s">
        <v>243</v>
      </c>
      <c r="C115" t="s">
        <v>113</v>
      </c>
      <c r="D115" t="s">
        <v>114</v>
      </c>
      <c r="E115">
        <v>0</v>
      </c>
      <c r="F115">
        <v>32990</v>
      </c>
      <c r="G115">
        <f t="shared" si="4"/>
        <v>0</v>
      </c>
      <c r="H115">
        <f t="shared" si="3"/>
        <v>0</v>
      </c>
      <c r="I115">
        <f>_xlfn.XLOOKUP(A115,'[1]Forecast 2026'!$A:$A,'[1]Forecast 2026'!$AJ:$AJ,"NA",0,1)</f>
        <v>0</v>
      </c>
      <c r="J115">
        <f t="shared" si="5"/>
        <v>0</v>
      </c>
    </row>
    <row r="116" spans="1:10" hidden="1" x14ac:dyDescent="0.35">
      <c r="A116" t="s">
        <v>244</v>
      </c>
      <c r="B116" t="s">
        <v>245</v>
      </c>
      <c r="C116" t="s">
        <v>113</v>
      </c>
      <c r="D116" t="s">
        <v>114</v>
      </c>
      <c r="E116">
        <v>0</v>
      </c>
      <c r="F116">
        <v>32990</v>
      </c>
      <c r="G116">
        <f t="shared" si="4"/>
        <v>0</v>
      </c>
      <c r="H116">
        <f t="shared" si="3"/>
        <v>0</v>
      </c>
      <c r="I116">
        <f>_xlfn.XLOOKUP(A116,'[1]Forecast 2026'!$A:$A,'[1]Forecast 2026'!$AJ:$AJ,"NA",0,1)</f>
        <v>0</v>
      </c>
      <c r="J116">
        <f t="shared" si="5"/>
        <v>0</v>
      </c>
    </row>
    <row r="117" spans="1:10" hidden="1" x14ac:dyDescent="0.35">
      <c r="A117" t="s">
        <v>246</v>
      </c>
      <c r="B117" t="s">
        <v>247</v>
      </c>
      <c r="C117" t="s">
        <v>113</v>
      </c>
      <c r="D117" t="s">
        <v>114</v>
      </c>
      <c r="E117">
        <v>20</v>
      </c>
      <c r="F117">
        <v>29990</v>
      </c>
      <c r="G117">
        <f t="shared" si="4"/>
        <v>599800</v>
      </c>
      <c r="H117">
        <f t="shared" si="3"/>
        <v>-599780</v>
      </c>
      <c r="I117">
        <f>_xlfn.XLOOKUP(A117,'[1]Forecast 2026'!$A:$A,'[1]Forecast 2026'!$AJ:$AJ,"NA",0,1)</f>
        <v>20</v>
      </c>
      <c r="J117">
        <f t="shared" si="5"/>
        <v>0</v>
      </c>
    </row>
    <row r="118" spans="1:10" hidden="1" x14ac:dyDescent="0.35">
      <c r="A118" t="s">
        <v>248</v>
      </c>
      <c r="B118" t="s">
        <v>249</v>
      </c>
      <c r="C118" t="s">
        <v>113</v>
      </c>
      <c r="D118" t="s">
        <v>114</v>
      </c>
      <c r="E118">
        <v>12</v>
      </c>
      <c r="F118">
        <v>29990</v>
      </c>
      <c r="G118">
        <f t="shared" si="4"/>
        <v>359880</v>
      </c>
      <c r="H118">
        <f t="shared" si="3"/>
        <v>-359868</v>
      </c>
      <c r="I118">
        <f>_xlfn.XLOOKUP(A118,'[1]Forecast 2026'!$A:$A,'[1]Forecast 2026'!$AJ:$AJ,"NA",0,1)</f>
        <v>12</v>
      </c>
      <c r="J118">
        <f t="shared" si="5"/>
        <v>0</v>
      </c>
    </row>
    <row r="119" spans="1:10" hidden="1" x14ac:dyDescent="0.35">
      <c r="A119" t="s">
        <v>250</v>
      </c>
      <c r="B119" t="s">
        <v>251</v>
      </c>
      <c r="C119" t="s">
        <v>113</v>
      </c>
      <c r="D119" t="s">
        <v>149</v>
      </c>
      <c r="E119">
        <v>0</v>
      </c>
      <c r="F119">
        <v>24990</v>
      </c>
      <c r="G119">
        <f t="shared" si="4"/>
        <v>0</v>
      </c>
      <c r="H119">
        <f t="shared" si="3"/>
        <v>0</v>
      </c>
      <c r="I119">
        <f>_xlfn.XLOOKUP(A119,'[1]Forecast 2026'!$A:$A,'[1]Forecast 2026'!$AJ:$AJ,"NA",0,1)</f>
        <v>0</v>
      </c>
      <c r="J119">
        <f t="shared" si="5"/>
        <v>0</v>
      </c>
    </row>
    <row r="120" spans="1:10" hidden="1" x14ac:dyDescent="0.35">
      <c r="A120" t="s">
        <v>252</v>
      </c>
      <c r="B120" t="s">
        <v>253</v>
      </c>
      <c r="C120" t="s">
        <v>113</v>
      </c>
      <c r="D120" t="s">
        <v>149</v>
      </c>
      <c r="E120">
        <v>10</v>
      </c>
      <c r="F120">
        <v>29990</v>
      </c>
      <c r="G120">
        <f t="shared" si="4"/>
        <v>299900</v>
      </c>
      <c r="H120">
        <f t="shared" si="3"/>
        <v>-299890</v>
      </c>
      <c r="I120">
        <f>_xlfn.XLOOKUP(A120,'[1]Forecast 2026'!$A:$A,'[1]Forecast 2026'!$AJ:$AJ,"NA",0,1)</f>
        <v>10</v>
      </c>
      <c r="J120">
        <f t="shared" si="5"/>
        <v>0</v>
      </c>
    </row>
    <row r="121" spans="1:10" hidden="1" x14ac:dyDescent="0.35">
      <c r="A121" t="s">
        <v>254</v>
      </c>
      <c r="B121" t="s">
        <v>255</v>
      </c>
      <c r="C121" t="s">
        <v>113</v>
      </c>
      <c r="D121" t="s">
        <v>114</v>
      </c>
      <c r="E121">
        <v>1</v>
      </c>
      <c r="F121">
        <v>19990</v>
      </c>
      <c r="G121">
        <f t="shared" si="4"/>
        <v>19990</v>
      </c>
      <c r="H121">
        <f t="shared" si="3"/>
        <v>-19989</v>
      </c>
      <c r="I121">
        <f>_xlfn.XLOOKUP(A121,'[1]Forecast 2026'!$A:$A,'[1]Forecast 2026'!$AJ:$AJ,"NA",0,1)</f>
        <v>1</v>
      </c>
      <c r="J121">
        <f t="shared" si="5"/>
        <v>0</v>
      </c>
    </row>
    <row r="122" spans="1:10" hidden="1" x14ac:dyDescent="0.35">
      <c r="A122" t="s">
        <v>256</v>
      </c>
      <c r="B122" t="s">
        <v>257</v>
      </c>
      <c r="C122" t="s">
        <v>113</v>
      </c>
      <c r="D122" t="s">
        <v>114</v>
      </c>
      <c r="E122">
        <v>3</v>
      </c>
      <c r="F122">
        <v>24990</v>
      </c>
      <c r="G122">
        <f t="shared" si="4"/>
        <v>74970</v>
      </c>
      <c r="H122">
        <f t="shared" si="3"/>
        <v>-74967</v>
      </c>
      <c r="I122">
        <f>_xlfn.XLOOKUP(A122,'[1]Forecast 2026'!$A:$A,'[1]Forecast 2026'!$AJ:$AJ,"NA",0,1)</f>
        <v>3</v>
      </c>
      <c r="J122">
        <f t="shared" si="5"/>
        <v>0</v>
      </c>
    </row>
    <row r="123" spans="1:10" hidden="1" x14ac:dyDescent="0.35">
      <c r="A123" t="s">
        <v>258</v>
      </c>
      <c r="B123" t="s">
        <v>259</v>
      </c>
      <c r="C123" t="s">
        <v>113</v>
      </c>
      <c r="D123" t="s">
        <v>114</v>
      </c>
      <c r="E123">
        <v>1</v>
      </c>
      <c r="F123">
        <v>29990</v>
      </c>
      <c r="G123">
        <f t="shared" si="4"/>
        <v>29990</v>
      </c>
      <c r="H123">
        <f t="shared" si="3"/>
        <v>-29989</v>
      </c>
      <c r="I123">
        <f>_xlfn.XLOOKUP(A123,'[1]Forecast 2026'!$A:$A,'[1]Forecast 2026'!$AJ:$AJ,"NA",0,1)</f>
        <v>1</v>
      </c>
      <c r="J123">
        <f t="shared" si="5"/>
        <v>0</v>
      </c>
    </row>
    <row r="124" spans="1:10" hidden="1" x14ac:dyDescent="0.35">
      <c r="A124" t="s">
        <v>260</v>
      </c>
      <c r="B124" t="s">
        <v>261</v>
      </c>
      <c r="C124" t="s">
        <v>113</v>
      </c>
      <c r="D124" t="s">
        <v>114</v>
      </c>
      <c r="E124">
        <v>6</v>
      </c>
      <c r="F124">
        <v>29990</v>
      </c>
      <c r="G124">
        <f t="shared" si="4"/>
        <v>179940</v>
      </c>
      <c r="H124">
        <f t="shared" si="3"/>
        <v>-179934</v>
      </c>
      <c r="I124">
        <f>_xlfn.XLOOKUP(A124,'[1]Forecast 2026'!$A:$A,'[1]Forecast 2026'!$AJ:$AJ,"NA",0,1)</f>
        <v>6</v>
      </c>
      <c r="J124">
        <f t="shared" si="5"/>
        <v>0</v>
      </c>
    </row>
    <row r="125" spans="1:10" hidden="1" x14ac:dyDescent="0.35">
      <c r="A125" t="s">
        <v>262</v>
      </c>
      <c r="B125" t="s">
        <v>263</v>
      </c>
      <c r="C125" t="s">
        <v>113</v>
      </c>
      <c r="D125" t="s">
        <v>114</v>
      </c>
      <c r="E125">
        <v>1</v>
      </c>
      <c r="F125">
        <v>34990</v>
      </c>
      <c r="G125">
        <f t="shared" si="4"/>
        <v>34990</v>
      </c>
      <c r="H125">
        <f t="shared" si="3"/>
        <v>-34989</v>
      </c>
      <c r="I125">
        <f>_xlfn.XLOOKUP(A125,'[1]Forecast 2026'!$A:$A,'[1]Forecast 2026'!$AJ:$AJ,"NA",0,1)</f>
        <v>1</v>
      </c>
      <c r="J125">
        <f t="shared" si="5"/>
        <v>0</v>
      </c>
    </row>
    <row r="126" spans="1:10" hidden="1" x14ac:dyDescent="0.35">
      <c r="A126" t="s">
        <v>264</v>
      </c>
      <c r="B126" t="s">
        <v>265</v>
      </c>
      <c r="C126" t="s">
        <v>113</v>
      </c>
      <c r="D126" t="s">
        <v>114</v>
      </c>
      <c r="E126">
        <v>1</v>
      </c>
      <c r="F126">
        <v>39990</v>
      </c>
      <c r="G126">
        <f t="shared" si="4"/>
        <v>39990</v>
      </c>
      <c r="H126">
        <f t="shared" si="3"/>
        <v>-39989</v>
      </c>
      <c r="I126">
        <f>_xlfn.XLOOKUP(A126,'[1]Forecast 2026'!$A:$A,'[1]Forecast 2026'!$AJ:$AJ,"NA",0,1)</f>
        <v>1</v>
      </c>
      <c r="J126">
        <f t="shared" si="5"/>
        <v>0</v>
      </c>
    </row>
    <row r="127" spans="1:10" hidden="1" x14ac:dyDescent="0.35">
      <c r="A127" t="s">
        <v>266</v>
      </c>
      <c r="B127" t="s">
        <v>267</v>
      </c>
      <c r="C127" t="s">
        <v>113</v>
      </c>
      <c r="D127" t="s">
        <v>149</v>
      </c>
      <c r="E127">
        <v>10</v>
      </c>
      <c r="F127">
        <v>24990</v>
      </c>
      <c r="G127">
        <f t="shared" si="4"/>
        <v>249900</v>
      </c>
      <c r="H127">
        <f t="shared" si="3"/>
        <v>-249890</v>
      </c>
      <c r="I127">
        <f>_xlfn.XLOOKUP(A127,'[1]Forecast 2026'!$A:$A,'[1]Forecast 2026'!$AJ:$AJ,"NA",0,1)</f>
        <v>10</v>
      </c>
      <c r="J127">
        <f t="shared" si="5"/>
        <v>0</v>
      </c>
    </row>
    <row r="128" spans="1:10" hidden="1" x14ac:dyDescent="0.35">
      <c r="A128" t="s">
        <v>268</v>
      </c>
      <c r="B128" t="s">
        <v>269</v>
      </c>
      <c r="C128" t="s">
        <v>113</v>
      </c>
      <c r="D128" t="s">
        <v>149</v>
      </c>
      <c r="E128">
        <v>25</v>
      </c>
      <c r="F128">
        <v>29990</v>
      </c>
      <c r="G128">
        <f t="shared" si="4"/>
        <v>749750</v>
      </c>
      <c r="H128">
        <f t="shared" si="3"/>
        <v>-749725</v>
      </c>
      <c r="I128">
        <f>_xlfn.XLOOKUP(A128,'[1]Forecast 2026'!$A:$A,'[1]Forecast 2026'!$AJ:$AJ,"NA",0,1)</f>
        <v>25</v>
      </c>
      <c r="J128">
        <f t="shared" si="5"/>
        <v>0</v>
      </c>
    </row>
    <row r="129" spans="1:10" hidden="1" x14ac:dyDescent="0.35">
      <c r="A129" t="s">
        <v>270</v>
      </c>
      <c r="B129" t="s">
        <v>271</v>
      </c>
      <c r="C129" t="s">
        <v>113</v>
      </c>
      <c r="D129" t="s">
        <v>149</v>
      </c>
      <c r="E129">
        <v>35</v>
      </c>
      <c r="F129">
        <v>33990</v>
      </c>
      <c r="G129">
        <f t="shared" si="4"/>
        <v>1189650</v>
      </c>
      <c r="H129">
        <f t="shared" si="3"/>
        <v>-1189615</v>
      </c>
      <c r="I129">
        <f>_xlfn.XLOOKUP(A129,'[1]Forecast 2026'!$A:$A,'[1]Forecast 2026'!$AJ:$AJ,"NA",0,1)</f>
        <v>35</v>
      </c>
      <c r="J129">
        <f t="shared" si="5"/>
        <v>0</v>
      </c>
    </row>
    <row r="130" spans="1:10" hidden="1" x14ac:dyDescent="0.35">
      <c r="A130" t="s">
        <v>272</v>
      </c>
      <c r="B130" t="s">
        <v>273</v>
      </c>
      <c r="C130" t="s">
        <v>113</v>
      </c>
      <c r="D130" t="s">
        <v>149</v>
      </c>
      <c r="E130">
        <v>30</v>
      </c>
      <c r="F130">
        <v>34990</v>
      </c>
      <c r="G130">
        <f t="shared" si="4"/>
        <v>1049700</v>
      </c>
      <c r="H130">
        <f t="shared" si="3"/>
        <v>-1049670</v>
      </c>
      <c r="I130">
        <f>_xlfn.XLOOKUP(A130,'[1]Forecast 2026'!$A:$A,'[1]Forecast 2026'!$AJ:$AJ,"NA",0,1)</f>
        <v>30</v>
      </c>
      <c r="J130">
        <f t="shared" si="5"/>
        <v>0</v>
      </c>
    </row>
    <row r="131" spans="1:10" hidden="1" x14ac:dyDescent="0.35">
      <c r="A131" t="s">
        <v>274</v>
      </c>
      <c r="B131" t="s">
        <v>275</v>
      </c>
      <c r="C131" t="s">
        <v>113</v>
      </c>
      <c r="D131" t="s">
        <v>149</v>
      </c>
      <c r="E131">
        <v>0</v>
      </c>
      <c r="F131">
        <v>64990</v>
      </c>
      <c r="G131">
        <f t="shared" si="4"/>
        <v>0</v>
      </c>
      <c r="H131">
        <f t="shared" ref="H131:H194" si="6">E131-G131</f>
        <v>0</v>
      </c>
      <c r="I131">
        <f>_xlfn.XLOOKUP(A131,'[1]Forecast 2026'!$A:$A,'[1]Forecast 2026'!$AJ:$AJ,"NA",0,1)</f>
        <v>0</v>
      </c>
      <c r="J131">
        <f t="shared" si="5"/>
        <v>0</v>
      </c>
    </row>
    <row r="132" spans="1:10" hidden="1" x14ac:dyDescent="0.35">
      <c r="A132" t="s">
        <v>276</v>
      </c>
      <c r="B132" t="s">
        <v>277</v>
      </c>
      <c r="C132" t="s">
        <v>113</v>
      </c>
      <c r="D132" t="s">
        <v>114</v>
      </c>
      <c r="E132">
        <v>11</v>
      </c>
      <c r="F132">
        <v>8990</v>
      </c>
      <c r="G132">
        <f t="shared" ref="G132:G195" si="7">F132*E132</f>
        <v>98890</v>
      </c>
      <c r="H132">
        <f t="shared" si="6"/>
        <v>-98879</v>
      </c>
      <c r="I132">
        <f>_xlfn.XLOOKUP(A132,'[1]Forecast 2026'!$A:$A,'[1]Forecast 2026'!$AJ:$AJ,"NA",0,1)</f>
        <v>11</v>
      </c>
      <c r="J132">
        <f t="shared" ref="J132:J195" si="8">IFERROR(E132-I132,"")</f>
        <v>0</v>
      </c>
    </row>
    <row r="133" spans="1:10" hidden="1" x14ac:dyDescent="0.35">
      <c r="A133" t="s">
        <v>278</v>
      </c>
      <c r="B133" t="s">
        <v>279</v>
      </c>
      <c r="C133" t="s">
        <v>113</v>
      </c>
      <c r="D133" t="s">
        <v>149</v>
      </c>
      <c r="E133">
        <v>12</v>
      </c>
      <c r="F133">
        <v>99990</v>
      </c>
      <c r="G133">
        <f t="shared" si="7"/>
        <v>1199880</v>
      </c>
      <c r="H133">
        <f t="shared" si="6"/>
        <v>-1199868</v>
      </c>
      <c r="I133">
        <f>_xlfn.XLOOKUP(A133,'[1]Forecast 2026'!$A:$A,'[1]Forecast 2026'!$AJ:$AJ,"NA",0,1)</f>
        <v>12</v>
      </c>
      <c r="J133">
        <f t="shared" si="8"/>
        <v>0</v>
      </c>
    </row>
    <row r="134" spans="1:10" hidden="1" x14ac:dyDescent="0.35">
      <c r="A134" t="s">
        <v>280</v>
      </c>
      <c r="B134" t="s">
        <v>281</v>
      </c>
      <c r="C134" t="s">
        <v>113</v>
      </c>
      <c r="D134" t="s">
        <v>149</v>
      </c>
      <c r="E134">
        <v>0</v>
      </c>
      <c r="F134">
        <v>15990</v>
      </c>
      <c r="G134">
        <f t="shared" si="7"/>
        <v>0</v>
      </c>
      <c r="H134">
        <f t="shared" si="6"/>
        <v>0</v>
      </c>
      <c r="I134">
        <f>_xlfn.XLOOKUP(A134,'[1]Forecast 2026'!$A:$A,'[1]Forecast 2026'!$AJ:$AJ,"NA",0,1)</f>
        <v>0</v>
      </c>
      <c r="J134">
        <f t="shared" si="8"/>
        <v>0</v>
      </c>
    </row>
    <row r="135" spans="1:10" hidden="1" x14ac:dyDescent="0.35">
      <c r="A135" t="s">
        <v>282</v>
      </c>
      <c r="B135" t="s">
        <v>283</v>
      </c>
      <c r="C135" t="s">
        <v>113</v>
      </c>
      <c r="D135" t="s">
        <v>114</v>
      </c>
      <c r="E135">
        <v>15</v>
      </c>
      <c r="F135">
        <v>29990</v>
      </c>
      <c r="G135">
        <f t="shared" si="7"/>
        <v>449850</v>
      </c>
      <c r="H135">
        <f t="shared" si="6"/>
        <v>-449835</v>
      </c>
      <c r="I135">
        <f>_xlfn.XLOOKUP(A135,'[1]Forecast 2026'!$A:$A,'[1]Forecast 2026'!$AJ:$AJ,"NA",0,1)</f>
        <v>15</v>
      </c>
      <c r="J135">
        <f t="shared" si="8"/>
        <v>0</v>
      </c>
    </row>
    <row r="136" spans="1:10" hidden="1" x14ac:dyDescent="0.35">
      <c r="A136" t="s">
        <v>284</v>
      </c>
      <c r="B136" t="s">
        <v>285</v>
      </c>
      <c r="C136" t="s">
        <v>113</v>
      </c>
      <c r="D136" t="s">
        <v>114</v>
      </c>
      <c r="E136">
        <v>16</v>
      </c>
      <c r="F136">
        <v>59990</v>
      </c>
      <c r="G136">
        <f t="shared" si="7"/>
        <v>959840</v>
      </c>
      <c r="H136">
        <f t="shared" si="6"/>
        <v>-959824</v>
      </c>
      <c r="I136">
        <f>_xlfn.XLOOKUP(A136,'[1]Forecast 2026'!$A:$A,'[1]Forecast 2026'!$AJ:$AJ,"NA",0,1)</f>
        <v>16</v>
      </c>
      <c r="J136">
        <f t="shared" si="8"/>
        <v>0</v>
      </c>
    </row>
    <row r="137" spans="1:10" hidden="1" x14ac:dyDescent="0.35">
      <c r="A137" t="s">
        <v>286</v>
      </c>
      <c r="B137" t="s">
        <v>287</v>
      </c>
      <c r="C137" t="s">
        <v>113</v>
      </c>
      <c r="D137" t="s">
        <v>149</v>
      </c>
      <c r="E137">
        <v>10</v>
      </c>
      <c r="F137">
        <v>27990</v>
      </c>
      <c r="G137">
        <f t="shared" si="7"/>
        <v>279900</v>
      </c>
      <c r="H137">
        <f t="shared" si="6"/>
        <v>-279890</v>
      </c>
      <c r="I137">
        <f>_xlfn.XLOOKUP(A137,'[1]Forecast 2026'!$A:$A,'[1]Forecast 2026'!$AJ:$AJ,"NA",0,1)</f>
        <v>10</v>
      </c>
      <c r="J137">
        <f t="shared" si="8"/>
        <v>0</v>
      </c>
    </row>
    <row r="138" spans="1:10" hidden="1" x14ac:dyDescent="0.35">
      <c r="A138" t="s">
        <v>288</v>
      </c>
      <c r="B138" t="s">
        <v>289</v>
      </c>
      <c r="C138" t="s">
        <v>113</v>
      </c>
      <c r="D138" t="s">
        <v>149</v>
      </c>
      <c r="E138">
        <v>0</v>
      </c>
      <c r="F138">
        <v>44990</v>
      </c>
      <c r="G138">
        <f t="shared" si="7"/>
        <v>0</v>
      </c>
      <c r="H138">
        <f t="shared" si="6"/>
        <v>0</v>
      </c>
      <c r="I138">
        <f>_xlfn.XLOOKUP(A138,'[1]Forecast 2026'!$A:$A,'[1]Forecast 2026'!$AJ:$AJ,"NA",0,1)</f>
        <v>0</v>
      </c>
      <c r="J138">
        <f t="shared" si="8"/>
        <v>0</v>
      </c>
    </row>
    <row r="139" spans="1:10" hidden="1" x14ac:dyDescent="0.35">
      <c r="A139" t="s">
        <v>290</v>
      </c>
      <c r="B139" t="s">
        <v>291</v>
      </c>
      <c r="C139" t="s">
        <v>113</v>
      </c>
      <c r="D139" t="s">
        <v>114</v>
      </c>
      <c r="E139">
        <v>7</v>
      </c>
      <c r="F139">
        <v>39990</v>
      </c>
      <c r="G139">
        <f t="shared" si="7"/>
        <v>279930</v>
      </c>
      <c r="H139">
        <f t="shared" si="6"/>
        <v>-279923</v>
      </c>
      <c r="I139">
        <f>_xlfn.XLOOKUP(A139,'[1]Forecast 2026'!$A:$A,'[1]Forecast 2026'!$AJ:$AJ,"NA",0,1)</f>
        <v>7</v>
      </c>
      <c r="J139">
        <f t="shared" si="8"/>
        <v>0</v>
      </c>
    </row>
    <row r="140" spans="1:10" hidden="1" x14ac:dyDescent="0.35">
      <c r="A140" t="s">
        <v>292</v>
      </c>
      <c r="B140" t="s">
        <v>293</v>
      </c>
      <c r="C140" t="s">
        <v>113</v>
      </c>
      <c r="D140" t="s">
        <v>114</v>
      </c>
      <c r="E140">
        <v>8</v>
      </c>
      <c r="F140">
        <v>49990</v>
      </c>
      <c r="G140">
        <f t="shared" si="7"/>
        <v>399920</v>
      </c>
      <c r="H140">
        <f t="shared" si="6"/>
        <v>-399912</v>
      </c>
      <c r="I140">
        <f>_xlfn.XLOOKUP(A140,'[1]Forecast 2026'!$A:$A,'[1]Forecast 2026'!$AJ:$AJ,"NA",0,1)</f>
        <v>8</v>
      </c>
      <c r="J140">
        <f t="shared" si="8"/>
        <v>0</v>
      </c>
    </row>
    <row r="141" spans="1:10" hidden="1" x14ac:dyDescent="0.35">
      <c r="A141" t="s">
        <v>294</v>
      </c>
      <c r="B141" t="s">
        <v>295</v>
      </c>
      <c r="C141" t="s">
        <v>113</v>
      </c>
      <c r="D141" t="s">
        <v>114</v>
      </c>
      <c r="E141">
        <v>9</v>
      </c>
      <c r="F141">
        <v>59990</v>
      </c>
      <c r="G141">
        <f t="shared" si="7"/>
        <v>539910</v>
      </c>
      <c r="H141">
        <f t="shared" si="6"/>
        <v>-539901</v>
      </c>
      <c r="I141">
        <f>_xlfn.XLOOKUP(A141,'[1]Forecast 2026'!$A:$A,'[1]Forecast 2026'!$AJ:$AJ,"NA",0,1)</f>
        <v>9</v>
      </c>
      <c r="J141">
        <f t="shared" si="8"/>
        <v>0</v>
      </c>
    </row>
    <row r="142" spans="1:10" hidden="1" x14ac:dyDescent="0.35">
      <c r="A142" t="s">
        <v>296</v>
      </c>
      <c r="B142" t="s">
        <v>297</v>
      </c>
      <c r="C142" t="s">
        <v>113</v>
      </c>
      <c r="D142" t="s">
        <v>114</v>
      </c>
      <c r="E142">
        <v>1</v>
      </c>
      <c r="F142">
        <v>69990</v>
      </c>
      <c r="G142">
        <f t="shared" si="7"/>
        <v>69990</v>
      </c>
      <c r="H142">
        <f t="shared" si="6"/>
        <v>-69989</v>
      </c>
      <c r="I142">
        <f>_xlfn.XLOOKUP(A142,'[1]Forecast 2026'!$A:$A,'[1]Forecast 2026'!$AJ:$AJ,"NA",0,1)</f>
        <v>1</v>
      </c>
      <c r="J142">
        <f t="shared" si="8"/>
        <v>0</v>
      </c>
    </row>
    <row r="143" spans="1:10" hidden="1" x14ac:dyDescent="0.35">
      <c r="A143" t="s">
        <v>298</v>
      </c>
      <c r="B143" t="s">
        <v>299</v>
      </c>
      <c r="C143" t="s">
        <v>113</v>
      </c>
      <c r="D143" t="s">
        <v>114</v>
      </c>
      <c r="E143">
        <v>3</v>
      </c>
      <c r="F143">
        <v>79990</v>
      </c>
      <c r="G143">
        <f t="shared" si="7"/>
        <v>239970</v>
      </c>
      <c r="H143">
        <f t="shared" si="6"/>
        <v>-239967</v>
      </c>
      <c r="I143">
        <f>_xlfn.XLOOKUP(A143,'[1]Forecast 2026'!$A:$A,'[1]Forecast 2026'!$AJ:$AJ,"NA",0,1)</f>
        <v>3</v>
      </c>
      <c r="J143">
        <f t="shared" si="8"/>
        <v>0</v>
      </c>
    </row>
    <row r="144" spans="1:10" hidden="1" x14ac:dyDescent="0.35">
      <c r="A144" t="s">
        <v>300</v>
      </c>
      <c r="B144" t="s">
        <v>301</v>
      </c>
      <c r="C144" t="s">
        <v>113</v>
      </c>
      <c r="D144" t="s">
        <v>114</v>
      </c>
      <c r="E144">
        <v>4</v>
      </c>
      <c r="F144">
        <v>8990</v>
      </c>
      <c r="G144">
        <f t="shared" si="7"/>
        <v>35960</v>
      </c>
      <c r="H144">
        <f t="shared" si="6"/>
        <v>-35956</v>
      </c>
      <c r="I144">
        <f>_xlfn.XLOOKUP(A144,'[1]Forecast 2026'!$A:$A,'[1]Forecast 2026'!$AJ:$AJ,"NA",0,1)</f>
        <v>4</v>
      </c>
      <c r="J144">
        <f t="shared" si="8"/>
        <v>0</v>
      </c>
    </row>
    <row r="145" spans="1:10" hidden="1" x14ac:dyDescent="0.35">
      <c r="A145" t="s">
        <v>302</v>
      </c>
      <c r="B145" t="s">
        <v>303</v>
      </c>
      <c r="C145" t="s">
        <v>113</v>
      </c>
      <c r="D145" t="s">
        <v>114</v>
      </c>
      <c r="E145">
        <v>14</v>
      </c>
      <c r="F145">
        <v>59990</v>
      </c>
      <c r="G145">
        <f t="shared" si="7"/>
        <v>839860</v>
      </c>
      <c r="H145">
        <f t="shared" si="6"/>
        <v>-839846</v>
      </c>
      <c r="I145">
        <f>_xlfn.XLOOKUP(A145,'[1]Forecast 2026'!$A:$A,'[1]Forecast 2026'!$AJ:$AJ,"NA",0,1)</f>
        <v>14</v>
      </c>
      <c r="J145">
        <f t="shared" si="8"/>
        <v>0</v>
      </c>
    </row>
    <row r="146" spans="1:10" hidden="1" x14ac:dyDescent="0.35">
      <c r="A146" t="s">
        <v>304</v>
      </c>
      <c r="B146" t="s">
        <v>305</v>
      </c>
      <c r="C146" t="s">
        <v>113</v>
      </c>
      <c r="D146" t="s">
        <v>114</v>
      </c>
      <c r="E146">
        <v>80</v>
      </c>
      <c r="F146">
        <v>69990</v>
      </c>
      <c r="G146">
        <f t="shared" si="7"/>
        <v>5599200</v>
      </c>
      <c r="H146">
        <f t="shared" si="6"/>
        <v>-5599120</v>
      </c>
      <c r="I146">
        <f>_xlfn.XLOOKUP(A146,'[1]Forecast 2026'!$A:$A,'[1]Forecast 2026'!$AJ:$AJ,"NA",0,1)</f>
        <v>80</v>
      </c>
      <c r="J146">
        <f t="shared" si="8"/>
        <v>0</v>
      </c>
    </row>
    <row r="147" spans="1:10" hidden="1" x14ac:dyDescent="0.35">
      <c r="A147" t="s">
        <v>306</v>
      </c>
      <c r="B147" t="s">
        <v>307</v>
      </c>
      <c r="C147" t="s">
        <v>113</v>
      </c>
      <c r="D147" t="s">
        <v>149</v>
      </c>
      <c r="E147">
        <v>0</v>
      </c>
      <c r="F147">
        <v>24990</v>
      </c>
      <c r="G147">
        <f t="shared" si="7"/>
        <v>0</v>
      </c>
      <c r="H147">
        <f t="shared" si="6"/>
        <v>0</v>
      </c>
      <c r="I147">
        <f>_xlfn.XLOOKUP(A147,'[1]Forecast 2026'!$A:$A,'[1]Forecast 2026'!$AJ:$AJ,"NA",0,1)</f>
        <v>0</v>
      </c>
      <c r="J147">
        <f t="shared" si="8"/>
        <v>0</v>
      </c>
    </row>
    <row r="148" spans="1:10" hidden="1" x14ac:dyDescent="0.35">
      <c r="A148" t="s">
        <v>308</v>
      </c>
      <c r="B148" t="s">
        <v>309</v>
      </c>
      <c r="C148" t="s">
        <v>113</v>
      </c>
      <c r="D148" t="s">
        <v>149</v>
      </c>
      <c r="E148">
        <v>20</v>
      </c>
      <c r="F148">
        <v>24990</v>
      </c>
      <c r="G148">
        <f t="shared" si="7"/>
        <v>499800</v>
      </c>
      <c r="H148">
        <f t="shared" si="6"/>
        <v>-499780</v>
      </c>
      <c r="I148">
        <f>_xlfn.XLOOKUP(A148,'[1]Forecast 2026'!$A:$A,'[1]Forecast 2026'!$AJ:$AJ,"NA",0,1)</f>
        <v>20</v>
      </c>
      <c r="J148">
        <f t="shared" si="8"/>
        <v>0</v>
      </c>
    </row>
    <row r="149" spans="1:10" hidden="1" x14ac:dyDescent="0.35">
      <c r="A149" t="s">
        <v>310</v>
      </c>
      <c r="B149" t="s">
        <v>311</v>
      </c>
      <c r="C149" t="s">
        <v>113</v>
      </c>
      <c r="D149" t="s">
        <v>149</v>
      </c>
      <c r="E149">
        <v>19</v>
      </c>
      <c r="F149">
        <v>24990</v>
      </c>
      <c r="G149">
        <f t="shared" si="7"/>
        <v>474810</v>
      </c>
      <c r="H149">
        <f t="shared" si="6"/>
        <v>-474791</v>
      </c>
      <c r="I149">
        <f>_xlfn.XLOOKUP(A149,'[1]Forecast 2026'!$A:$A,'[1]Forecast 2026'!$AJ:$AJ,"NA",0,1)</f>
        <v>19</v>
      </c>
      <c r="J149">
        <f t="shared" si="8"/>
        <v>0</v>
      </c>
    </row>
    <row r="150" spans="1:10" hidden="1" x14ac:dyDescent="0.35">
      <c r="A150" t="s">
        <v>312</v>
      </c>
      <c r="B150" t="s">
        <v>313</v>
      </c>
      <c r="C150" t="s">
        <v>113</v>
      </c>
      <c r="D150" t="s">
        <v>149</v>
      </c>
      <c r="E150">
        <v>13</v>
      </c>
      <c r="F150">
        <v>29990</v>
      </c>
      <c r="G150">
        <f t="shared" si="7"/>
        <v>389870</v>
      </c>
      <c r="H150">
        <f t="shared" si="6"/>
        <v>-389857</v>
      </c>
      <c r="I150">
        <f>_xlfn.XLOOKUP(A150,'[1]Forecast 2026'!$A:$A,'[1]Forecast 2026'!$AJ:$AJ,"NA",0,1)</f>
        <v>13</v>
      </c>
      <c r="J150">
        <f t="shared" si="8"/>
        <v>0</v>
      </c>
    </row>
    <row r="151" spans="1:10" hidden="1" x14ac:dyDescent="0.35">
      <c r="A151" t="s">
        <v>314</v>
      </c>
      <c r="B151" t="s">
        <v>315</v>
      </c>
      <c r="C151" t="s">
        <v>113</v>
      </c>
      <c r="D151" t="s">
        <v>149</v>
      </c>
      <c r="E151">
        <v>18</v>
      </c>
      <c r="F151">
        <v>29990</v>
      </c>
      <c r="G151">
        <f t="shared" si="7"/>
        <v>539820</v>
      </c>
      <c r="H151">
        <f t="shared" si="6"/>
        <v>-539802</v>
      </c>
      <c r="I151">
        <f>_xlfn.XLOOKUP(A151,'[1]Forecast 2026'!$A:$A,'[1]Forecast 2026'!$AJ:$AJ,"NA",0,1)</f>
        <v>18</v>
      </c>
      <c r="J151">
        <f t="shared" si="8"/>
        <v>0</v>
      </c>
    </row>
    <row r="152" spans="1:10" hidden="1" x14ac:dyDescent="0.35">
      <c r="A152" t="s">
        <v>316</v>
      </c>
      <c r="B152" t="s">
        <v>317</v>
      </c>
      <c r="C152" t="s">
        <v>113</v>
      </c>
      <c r="D152" t="s">
        <v>149</v>
      </c>
      <c r="E152">
        <v>20</v>
      </c>
      <c r="F152">
        <v>29990</v>
      </c>
      <c r="G152">
        <f t="shared" si="7"/>
        <v>599800</v>
      </c>
      <c r="H152">
        <f t="shared" si="6"/>
        <v>-599780</v>
      </c>
      <c r="I152">
        <f>_xlfn.XLOOKUP(A152,'[1]Forecast 2026'!$A:$A,'[1]Forecast 2026'!$AJ:$AJ,"NA",0,1)</f>
        <v>20</v>
      </c>
      <c r="J152">
        <f t="shared" si="8"/>
        <v>0</v>
      </c>
    </row>
    <row r="153" spans="1:10" hidden="1" x14ac:dyDescent="0.35">
      <c r="A153" t="s">
        <v>318</v>
      </c>
      <c r="B153" t="s">
        <v>319</v>
      </c>
      <c r="C153" t="s">
        <v>113</v>
      </c>
      <c r="D153" t="s">
        <v>114</v>
      </c>
      <c r="E153">
        <v>9</v>
      </c>
      <c r="F153">
        <v>29990</v>
      </c>
      <c r="G153">
        <f t="shared" si="7"/>
        <v>269910</v>
      </c>
      <c r="H153">
        <f t="shared" si="6"/>
        <v>-269901</v>
      </c>
      <c r="I153">
        <f>_xlfn.XLOOKUP(A153,'[1]Forecast 2026'!$A:$A,'[1]Forecast 2026'!$AJ:$AJ,"NA",0,1)</f>
        <v>9</v>
      </c>
      <c r="J153">
        <f t="shared" si="8"/>
        <v>0</v>
      </c>
    </row>
    <row r="154" spans="1:10" hidden="1" x14ac:dyDescent="0.35">
      <c r="A154" t="s">
        <v>320</v>
      </c>
      <c r="B154" t="s">
        <v>321</v>
      </c>
      <c r="C154" t="s">
        <v>113</v>
      </c>
      <c r="D154" t="s">
        <v>114</v>
      </c>
      <c r="E154">
        <v>9</v>
      </c>
      <c r="F154">
        <v>29990</v>
      </c>
      <c r="G154">
        <f t="shared" si="7"/>
        <v>269910</v>
      </c>
      <c r="H154">
        <f t="shared" si="6"/>
        <v>-269901</v>
      </c>
      <c r="I154">
        <f>_xlfn.XLOOKUP(A154,'[1]Forecast 2026'!$A:$A,'[1]Forecast 2026'!$AJ:$AJ,"NA",0,1)</f>
        <v>9</v>
      </c>
      <c r="J154">
        <f t="shared" si="8"/>
        <v>0</v>
      </c>
    </row>
    <row r="155" spans="1:10" hidden="1" x14ac:dyDescent="0.35">
      <c r="A155" t="s">
        <v>322</v>
      </c>
      <c r="B155" t="s">
        <v>323</v>
      </c>
      <c r="C155" t="s">
        <v>113</v>
      </c>
      <c r="D155" t="s">
        <v>114</v>
      </c>
      <c r="E155">
        <v>25</v>
      </c>
      <c r="F155">
        <v>29990</v>
      </c>
      <c r="G155">
        <f t="shared" si="7"/>
        <v>749750</v>
      </c>
      <c r="H155">
        <f t="shared" si="6"/>
        <v>-749725</v>
      </c>
      <c r="I155">
        <f>_xlfn.XLOOKUP(A155,'[1]Forecast 2026'!$A:$A,'[1]Forecast 2026'!$AJ:$AJ,"NA",0,1)</f>
        <v>25</v>
      </c>
      <c r="J155">
        <f t="shared" si="8"/>
        <v>0</v>
      </c>
    </row>
    <row r="156" spans="1:10" hidden="1" x14ac:dyDescent="0.35">
      <c r="A156" t="s">
        <v>324</v>
      </c>
      <c r="B156" t="s">
        <v>325</v>
      </c>
      <c r="C156" t="s">
        <v>113</v>
      </c>
      <c r="D156" t="s">
        <v>114</v>
      </c>
      <c r="E156">
        <v>20</v>
      </c>
      <c r="F156">
        <v>29990</v>
      </c>
      <c r="G156">
        <f t="shared" si="7"/>
        <v>599800</v>
      </c>
      <c r="H156">
        <f t="shared" si="6"/>
        <v>-599780</v>
      </c>
      <c r="I156">
        <f>_xlfn.XLOOKUP(A156,'[1]Forecast 2026'!$A:$A,'[1]Forecast 2026'!$AJ:$AJ,"NA",0,1)</f>
        <v>20</v>
      </c>
      <c r="J156">
        <f t="shared" si="8"/>
        <v>0</v>
      </c>
    </row>
    <row r="157" spans="1:10" hidden="1" x14ac:dyDescent="0.35">
      <c r="A157" t="s">
        <v>326</v>
      </c>
      <c r="B157" t="s">
        <v>327</v>
      </c>
      <c r="C157" t="s">
        <v>113</v>
      </c>
      <c r="D157" t="s">
        <v>114</v>
      </c>
      <c r="E157">
        <v>30</v>
      </c>
      <c r="F157">
        <v>29990</v>
      </c>
      <c r="G157">
        <f t="shared" si="7"/>
        <v>899700</v>
      </c>
      <c r="H157">
        <f t="shared" si="6"/>
        <v>-899670</v>
      </c>
      <c r="I157">
        <f>_xlfn.XLOOKUP(A157,'[1]Forecast 2026'!$A:$A,'[1]Forecast 2026'!$AJ:$AJ,"NA",0,1)</f>
        <v>30</v>
      </c>
      <c r="J157">
        <f t="shared" si="8"/>
        <v>0</v>
      </c>
    </row>
    <row r="158" spans="1:10" hidden="1" x14ac:dyDescent="0.35">
      <c r="A158" t="s">
        <v>328</v>
      </c>
      <c r="B158" t="s">
        <v>329</v>
      </c>
      <c r="C158" t="s">
        <v>113</v>
      </c>
      <c r="D158" t="s">
        <v>114</v>
      </c>
      <c r="E158">
        <v>20</v>
      </c>
      <c r="F158">
        <v>34990</v>
      </c>
      <c r="G158">
        <f t="shared" si="7"/>
        <v>699800</v>
      </c>
      <c r="H158">
        <f t="shared" si="6"/>
        <v>-699780</v>
      </c>
      <c r="I158">
        <f>_xlfn.XLOOKUP(A158,'[1]Forecast 2026'!$A:$A,'[1]Forecast 2026'!$AJ:$AJ,"NA",0,1)</f>
        <v>20</v>
      </c>
      <c r="J158">
        <f t="shared" si="8"/>
        <v>0</v>
      </c>
    </row>
    <row r="159" spans="1:10" hidden="1" x14ac:dyDescent="0.35">
      <c r="A159" t="s">
        <v>330</v>
      </c>
      <c r="B159" t="s">
        <v>331</v>
      </c>
      <c r="C159" t="s">
        <v>113</v>
      </c>
      <c r="D159" t="s">
        <v>114</v>
      </c>
      <c r="E159">
        <v>20</v>
      </c>
      <c r="F159">
        <v>34990</v>
      </c>
      <c r="G159">
        <f t="shared" si="7"/>
        <v>699800</v>
      </c>
      <c r="H159">
        <f t="shared" si="6"/>
        <v>-699780</v>
      </c>
      <c r="I159">
        <f>_xlfn.XLOOKUP(A159,'[1]Forecast 2026'!$A:$A,'[1]Forecast 2026'!$AJ:$AJ,"NA",0,1)</f>
        <v>20</v>
      </c>
      <c r="J159">
        <f t="shared" si="8"/>
        <v>0</v>
      </c>
    </row>
    <row r="160" spans="1:10" hidden="1" x14ac:dyDescent="0.35">
      <c r="A160" t="s">
        <v>332</v>
      </c>
      <c r="B160" t="s">
        <v>333</v>
      </c>
      <c r="C160" t="s">
        <v>113</v>
      </c>
      <c r="D160" t="s">
        <v>114</v>
      </c>
      <c r="E160">
        <v>0</v>
      </c>
      <c r="F160">
        <v>39990</v>
      </c>
      <c r="G160">
        <f t="shared" si="7"/>
        <v>0</v>
      </c>
      <c r="H160">
        <f t="shared" si="6"/>
        <v>0</v>
      </c>
      <c r="I160">
        <f>_xlfn.XLOOKUP(A160,'[1]Forecast 2026'!$A:$A,'[1]Forecast 2026'!$AJ:$AJ,"NA",0,1)</f>
        <v>0</v>
      </c>
      <c r="J160">
        <f t="shared" si="8"/>
        <v>0</v>
      </c>
    </row>
    <row r="161" spans="1:10" hidden="1" x14ac:dyDescent="0.35">
      <c r="A161" t="s">
        <v>334</v>
      </c>
      <c r="B161" t="s">
        <v>335</v>
      </c>
      <c r="C161" t="s">
        <v>113</v>
      </c>
      <c r="D161" t="s">
        <v>114</v>
      </c>
      <c r="E161">
        <v>25</v>
      </c>
      <c r="F161">
        <v>39990</v>
      </c>
      <c r="G161">
        <f t="shared" si="7"/>
        <v>999750</v>
      </c>
      <c r="H161">
        <f t="shared" si="6"/>
        <v>-999725</v>
      </c>
      <c r="I161">
        <f>_xlfn.XLOOKUP(A161,'[1]Forecast 2026'!$A:$A,'[1]Forecast 2026'!$AJ:$AJ,"NA",0,1)</f>
        <v>25</v>
      </c>
      <c r="J161">
        <f t="shared" si="8"/>
        <v>0</v>
      </c>
    </row>
    <row r="162" spans="1:10" hidden="1" x14ac:dyDescent="0.35">
      <c r="A162" t="s">
        <v>336</v>
      </c>
      <c r="B162" t="s">
        <v>337</v>
      </c>
      <c r="C162" t="s">
        <v>113</v>
      </c>
      <c r="D162" t="s">
        <v>114</v>
      </c>
      <c r="E162">
        <v>24</v>
      </c>
      <c r="F162">
        <v>44990</v>
      </c>
      <c r="G162">
        <f t="shared" si="7"/>
        <v>1079760</v>
      </c>
      <c r="H162">
        <f t="shared" si="6"/>
        <v>-1079736</v>
      </c>
      <c r="I162">
        <f>_xlfn.XLOOKUP(A162,'[1]Forecast 2026'!$A:$A,'[1]Forecast 2026'!$AJ:$AJ,"NA",0,1)</f>
        <v>24</v>
      </c>
      <c r="J162">
        <f t="shared" si="8"/>
        <v>0</v>
      </c>
    </row>
    <row r="163" spans="1:10" hidden="1" x14ac:dyDescent="0.35">
      <c r="A163" t="s">
        <v>338</v>
      </c>
      <c r="B163" t="s">
        <v>339</v>
      </c>
      <c r="C163" t="s">
        <v>113</v>
      </c>
      <c r="D163" t="s">
        <v>114</v>
      </c>
      <c r="E163">
        <v>28</v>
      </c>
      <c r="F163">
        <v>44990</v>
      </c>
      <c r="G163">
        <f t="shared" si="7"/>
        <v>1259720</v>
      </c>
      <c r="H163">
        <f t="shared" si="6"/>
        <v>-1259692</v>
      </c>
      <c r="I163">
        <f>_xlfn.XLOOKUP(A163,'[1]Forecast 2026'!$A:$A,'[1]Forecast 2026'!$AJ:$AJ,"NA",0,1)</f>
        <v>28</v>
      </c>
      <c r="J163">
        <f t="shared" si="8"/>
        <v>0</v>
      </c>
    </row>
    <row r="164" spans="1:10" hidden="1" x14ac:dyDescent="0.35">
      <c r="A164" t="s">
        <v>340</v>
      </c>
      <c r="B164" t="s">
        <v>341</v>
      </c>
      <c r="C164" t="s">
        <v>113</v>
      </c>
      <c r="D164" t="s">
        <v>342</v>
      </c>
      <c r="E164">
        <v>100</v>
      </c>
      <c r="F164">
        <v>14990</v>
      </c>
      <c r="G164">
        <f t="shared" si="7"/>
        <v>1499000</v>
      </c>
      <c r="H164">
        <f t="shared" si="6"/>
        <v>-1498900</v>
      </c>
      <c r="I164">
        <f>_xlfn.XLOOKUP(A164,'[1]Forecast 2026'!$A:$A,'[1]Forecast 2026'!$AJ:$AJ,"NA",0,1)</f>
        <v>100</v>
      </c>
      <c r="J164">
        <f t="shared" si="8"/>
        <v>0</v>
      </c>
    </row>
    <row r="165" spans="1:10" hidden="1" x14ac:dyDescent="0.35">
      <c r="A165" t="s">
        <v>343</v>
      </c>
      <c r="B165" t="s">
        <v>344</v>
      </c>
      <c r="C165" t="s">
        <v>113</v>
      </c>
      <c r="D165" t="s">
        <v>114</v>
      </c>
      <c r="E165">
        <v>7</v>
      </c>
      <c r="F165">
        <v>39990</v>
      </c>
      <c r="G165">
        <f t="shared" si="7"/>
        <v>279930</v>
      </c>
      <c r="H165">
        <f t="shared" si="6"/>
        <v>-279923</v>
      </c>
      <c r="I165">
        <f>_xlfn.XLOOKUP(A165,'[1]Forecast 2026'!$A:$A,'[1]Forecast 2026'!$AJ:$AJ,"NA",0,1)</f>
        <v>7</v>
      </c>
      <c r="J165">
        <f t="shared" si="8"/>
        <v>0</v>
      </c>
    </row>
    <row r="166" spans="1:10" hidden="1" x14ac:dyDescent="0.35">
      <c r="A166" t="s">
        <v>345</v>
      </c>
      <c r="B166" t="s">
        <v>346</v>
      </c>
      <c r="C166" t="s">
        <v>113</v>
      </c>
      <c r="D166" t="s">
        <v>114</v>
      </c>
      <c r="E166">
        <v>12</v>
      </c>
      <c r="F166">
        <v>39990</v>
      </c>
      <c r="G166">
        <f t="shared" si="7"/>
        <v>479880</v>
      </c>
      <c r="H166">
        <f t="shared" si="6"/>
        <v>-479868</v>
      </c>
      <c r="I166">
        <f>_xlfn.XLOOKUP(A166,'[1]Forecast 2026'!$A:$A,'[1]Forecast 2026'!$AJ:$AJ,"NA",0,1)</f>
        <v>12</v>
      </c>
      <c r="J166">
        <f t="shared" si="8"/>
        <v>0</v>
      </c>
    </row>
    <row r="167" spans="1:10" hidden="1" x14ac:dyDescent="0.35">
      <c r="A167" t="s">
        <v>347</v>
      </c>
      <c r="B167" t="s">
        <v>348</v>
      </c>
      <c r="C167" t="s">
        <v>113</v>
      </c>
      <c r="D167" t="s">
        <v>114</v>
      </c>
      <c r="E167">
        <v>16</v>
      </c>
      <c r="F167">
        <v>39990</v>
      </c>
      <c r="G167">
        <f t="shared" si="7"/>
        <v>639840</v>
      </c>
      <c r="H167">
        <f t="shared" si="6"/>
        <v>-639824</v>
      </c>
      <c r="I167">
        <f>_xlfn.XLOOKUP(A167,'[1]Forecast 2026'!$A:$A,'[1]Forecast 2026'!$AJ:$AJ,"NA",0,1)</f>
        <v>16</v>
      </c>
      <c r="J167">
        <f t="shared" si="8"/>
        <v>0</v>
      </c>
    </row>
    <row r="168" spans="1:10" hidden="1" x14ac:dyDescent="0.35">
      <c r="A168" t="s">
        <v>349</v>
      </c>
      <c r="B168" t="s">
        <v>350</v>
      </c>
      <c r="C168" t="s">
        <v>113</v>
      </c>
      <c r="D168" t="s">
        <v>114</v>
      </c>
      <c r="E168">
        <v>10</v>
      </c>
      <c r="F168">
        <v>44990</v>
      </c>
      <c r="G168">
        <f t="shared" si="7"/>
        <v>449900</v>
      </c>
      <c r="H168">
        <f t="shared" si="6"/>
        <v>-449890</v>
      </c>
      <c r="I168">
        <f>_xlfn.XLOOKUP(A168,'[1]Forecast 2026'!$A:$A,'[1]Forecast 2026'!$AJ:$AJ,"NA",0,1)</f>
        <v>10</v>
      </c>
      <c r="J168">
        <f t="shared" si="8"/>
        <v>0</v>
      </c>
    </row>
    <row r="169" spans="1:10" hidden="1" x14ac:dyDescent="0.35">
      <c r="A169" t="s">
        <v>351</v>
      </c>
      <c r="B169" t="s">
        <v>352</v>
      </c>
      <c r="C169" t="s">
        <v>113</v>
      </c>
      <c r="D169" t="s">
        <v>114</v>
      </c>
      <c r="E169">
        <v>5</v>
      </c>
      <c r="F169">
        <v>44990</v>
      </c>
      <c r="G169">
        <f t="shared" si="7"/>
        <v>224950</v>
      </c>
      <c r="H169">
        <f t="shared" si="6"/>
        <v>-224945</v>
      </c>
      <c r="I169">
        <f>_xlfn.XLOOKUP(A169,'[1]Forecast 2026'!$A:$A,'[1]Forecast 2026'!$AJ:$AJ,"NA",0,1)</f>
        <v>5</v>
      </c>
      <c r="J169">
        <f t="shared" si="8"/>
        <v>0</v>
      </c>
    </row>
    <row r="170" spans="1:10" hidden="1" x14ac:dyDescent="0.35">
      <c r="A170" t="s">
        <v>353</v>
      </c>
      <c r="B170" t="s">
        <v>354</v>
      </c>
      <c r="C170" t="s">
        <v>113</v>
      </c>
      <c r="D170" t="s">
        <v>114</v>
      </c>
      <c r="E170">
        <v>10</v>
      </c>
      <c r="F170">
        <v>44990</v>
      </c>
      <c r="G170">
        <f t="shared" si="7"/>
        <v>449900</v>
      </c>
      <c r="H170">
        <f t="shared" si="6"/>
        <v>-449890</v>
      </c>
      <c r="I170">
        <f>_xlfn.XLOOKUP(A170,'[1]Forecast 2026'!$A:$A,'[1]Forecast 2026'!$AJ:$AJ,"NA",0,1)</f>
        <v>10</v>
      </c>
      <c r="J170">
        <f t="shared" si="8"/>
        <v>0</v>
      </c>
    </row>
    <row r="171" spans="1:10" hidden="1" x14ac:dyDescent="0.35">
      <c r="A171" t="s">
        <v>355</v>
      </c>
      <c r="B171" t="s">
        <v>356</v>
      </c>
      <c r="C171" t="s">
        <v>113</v>
      </c>
      <c r="D171" t="s">
        <v>114</v>
      </c>
      <c r="E171">
        <v>0</v>
      </c>
      <c r="F171">
        <v>0</v>
      </c>
      <c r="G171">
        <f t="shared" si="7"/>
        <v>0</v>
      </c>
      <c r="H171">
        <f t="shared" si="6"/>
        <v>0</v>
      </c>
      <c r="I171">
        <f>_xlfn.XLOOKUP(A171,'[1]Forecast 2026'!$A:$A,'[1]Forecast 2026'!$AJ:$AJ,"NA",0,1)</f>
        <v>0</v>
      </c>
      <c r="J171">
        <f t="shared" si="8"/>
        <v>0</v>
      </c>
    </row>
    <row r="172" spans="1:10" hidden="1" x14ac:dyDescent="0.35">
      <c r="A172" t="s">
        <v>357</v>
      </c>
      <c r="B172" t="s">
        <v>358</v>
      </c>
      <c r="C172" t="s">
        <v>113</v>
      </c>
      <c r="D172" t="s">
        <v>114</v>
      </c>
      <c r="E172">
        <v>0</v>
      </c>
      <c r="F172">
        <v>0</v>
      </c>
      <c r="G172">
        <f t="shared" si="7"/>
        <v>0</v>
      </c>
      <c r="H172">
        <f t="shared" si="6"/>
        <v>0</v>
      </c>
      <c r="I172">
        <f>_xlfn.XLOOKUP(A172,'[1]Forecast 2026'!$A:$A,'[1]Forecast 2026'!$AJ:$AJ,"NA",0,1)</f>
        <v>0</v>
      </c>
      <c r="J172">
        <f t="shared" si="8"/>
        <v>0</v>
      </c>
    </row>
    <row r="173" spans="1:10" hidden="1" x14ac:dyDescent="0.35">
      <c r="A173" t="s">
        <v>359</v>
      </c>
      <c r="B173" t="s">
        <v>360</v>
      </c>
      <c r="C173" t="s">
        <v>361</v>
      </c>
      <c r="D173" t="s">
        <v>48</v>
      </c>
      <c r="E173">
        <v>54</v>
      </c>
      <c r="F173">
        <v>229990</v>
      </c>
      <c r="G173">
        <f t="shared" si="7"/>
        <v>12419460</v>
      </c>
      <c r="H173">
        <f t="shared" si="6"/>
        <v>-12419406</v>
      </c>
      <c r="I173">
        <f>_xlfn.XLOOKUP(A173,'[1]Forecast 2026'!$A:$A,'[1]Forecast 2026'!$AJ:$AJ,"NA",0,1)</f>
        <v>54</v>
      </c>
      <c r="J173">
        <f t="shared" si="8"/>
        <v>0</v>
      </c>
    </row>
    <row r="174" spans="1:10" hidden="1" x14ac:dyDescent="0.35">
      <c r="A174" t="s">
        <v>362</v>
      </c>
      <c r="B174" t="s">
        <v>363</v>
      </c>
      <c r="C174" t="s">
        <v>361</v>
      </c>
      <c r="D174" t="s">
        <v>364</v>
      </c>
      <c r="E174">
        <v>10</v>
      </c>
      <c r="F174">
        <v>49990</v>
      </c>
      <c r="G174">
        <f t="shared" si="7"/>
        <v>499900</v>
      </c>
      <c r="H174">
        <f t="shared" si="6"/>
        <v>-499890</v>
      </c>
      <c r="I174">
        <f>_xlfn.XLOOKUP(A174,'[1]Forecast 2026'!$A:$A,'[1]Forecast 2026'!$AJ:$AJ,"NA",0,1)</f>
        <v>10</v>
      </c>
      <c r="J174">
        <f t="shared" si="8"/>
        <v>0</v>
      </c>
    </row>
    <row r="175" spans="1:10" hidden="1" x14ac:dyDescent="0.35">
      <c r="A175" t="s">
        <v>365</v>
      </c>
      <c r="B175" t="s">
        <v>366</v>
      </c>
      <c r="C175" t="s">
        <v>361</v>
      </c>
      <c r="D175" t="s">
        <v>364</v>
      </c>
      <c r="E175">
        <v>0</v>
      </c>
      <c r="F175">
        <v>199990</v>
      </c>
      <c r="G175">
        <f t="shared" si="7"/>
        <v>0</v>
      </c>
      <c r="H175">
        <f t="shared" si="6"/>
        <v>0</v>
      </c>
      <c r="I175">
        <f>_xlfn.XLOOKUP(A175,'[1]Forecast 2026'!$A:$A,'[1]Forecast 2026'!$AJ:$AJ,"NA",0,1)</f>
        <v>0</v>
      </c>
      <c r="J175">
        <f t="shared" si="8"/>
        <v>0</v>
      </c>
    </row>
    <row r="176" spans="1:10" hidden="1" x14ac:dyDescent="0.35">
      <c r="A176" t="s">
        <v>367</v>
      </c>
      <c r="B176" t="s">
        <v>368</v>
      </c>
      <c r="C176" t="s">
        <v>361</v>
      </c>
      <c r="D176" t="s">
        <v>364</v>
      </c>
      <c r="E176">
        <v>0</v>
      </c>
      <c r="F176">
        <v>199990</v>
      </c>
      <c r="G176">
        <f t="shared" si="7"/>
        <v>0</v>
      </c>
      <c r="H176">
        <f t="shared" si="6"/>
        <v>0</v>
      </c>
      <c r="I176">
        <f>_xlfn.XLOOKUP(A176,'[1]Forecast 2026'!$A:$A,'[1]Forecast 2026'!$AJ:$AJ,"NA",0,1)</f>
        <v>0</v>
      </c>
      <c r="J176">
        <f t="shared" si="8"/>
        <v>0</v>
      </c>
    </row>
    <row r="177" spans="1:10" hidden="1" x14ac:dyDescent="0.35">
      <c r="A177" t="s">
        <v>369</v>
      </c>
      <c r="B177" t="s">
        <v>370</v>
      </c>
      <c r="C177" t="s">
        <v>361</v>
      </c>
      <c r="D177" t="s">
        <v>364</v>
      </c>
      <c r="E177">
        <v>0</v>
      </c>
      <c r="F177">
        <v>139990</v>
      </c>
      <c r="G177">
        <f t="shared" si="7"/>
        <v>0</v>
      </c>
      <c r="H177">
        <f t="shared" si="6"/>
        <v>0</v>
      </c>
      <c r="I177">
        <f>_xlfn.XLOOKUP(A177,'[1]Forecast 2026'!$A:$A,'[1]Forecast 2026'!$AJ:$AJ,"NA",0,1)</f>
        <v>0</v>
      </c>
      <c r="J177">
        <f t="shared" si="8"/>
        <v>0</v>
      </c>
    </row>
    <row r="178" spans="1:10" hidden="1" x14ac:dyDescent="0.35">
      <c r="A178" t="s">
        <v>371</v>
      </c>
      <c r="B178" t="s">
        <v>372</v>
      </c>
      <c r="C178" t="s">
        <v>361</v>
      </c>
      <c r="D178" t="s">
        <v>364</v>
      </c>
      <c r="E178">
        <v>0</v>
      </c>
      <c r="F178">
        <v>139990</v>
      </c>
      <c r="G178">
        <f t="shared" si="7"/>
        <v>0</v>
      </c>
      <c r="H178">
        <f t="shared" si="6"/>
        <v>0</v>
      </c>
      <c r="I178">
        <f>_xlfn.XLOOKUP(A178,'[1]Forecast 2026'!$A:$A,'[1]Forecast 2026'!$AJ:$AJ,"NA",0,1)</f>
        <v>0</v>
      </c>
      <c r="J178">
        <f t="shared" si="8"/>
        <v>0</v>
      </c>
    </row>
    <row r="179" spans="1:10" hidden="1" x14ac:dyDescent="0.35">
      <c r="A179" t="s">
        <v>373</v>
      </c>
      <c r="B179" t="s">
        <v>374</v>
      </c>
      <c r="C179" t="s">
        <v>361</v>
      </c>
      <c r="D179" t="s">
        <v>48</v>
      </c>
      <c r="E179">
        <v>0</v>
      </c>
      <c r="F179">
        <v>0</v>
      </c>
      <c r="G179">
        <f t="shared" si="7"/>
        <v>0</v>
      </c>
      <c r="H179">
        <f t="shared" si="6"/>
        <v>0</v>
      </c>
      <c r="I179">
        <f>_xlfn.XLOOKUP(A179,'[1]Forecast 2026'!$A:$A,'[1]Forecast 2026'!$AJ:$AJ,"NA",0,1)</f>
        <v>0</v>
      </c>
      <c r="J179">
        <f t="shared" si="8"/>
        <v>0</v>
      </c>
    </row>
    <row r="180" spans="1:10" hidden="1" x14ac:dyDescent="0.35">
      <c r="A180" t="s">
        <v>375</v>
      </c>
      <c r="B180" t="s">
        <v>376</v>
      </c>
      <c r="C180" t="s">
        <v>361</v>
      </c>
      <c r="D180" t="s">
        <v>364</v>
      </c>
      <c r="E180">
        <v>0</v>
      </c>
      <c r="F180">
        <v>99990</v>
      </c>
      <c r="G180">
        <f t="shared" si="7"/>
        <v>0</v>
      </c>
      <c r="H180">
        <f t="shared" si="6"/>
        <v>0</v>
      </c>
      <c r="I180">
        <f>_xlfn.XLOOKUP(A180,'[1]Forecast 2026'!$A:$A,'[1]Forecast 2026'!$AJ:$AJ,"NA",0,1)</f>
        <v>0</v>
      </c>
      <c r="J180">
        <f t="shared" si="8"/>
        <v>0</v>
      </c>
    </row>
    <row r="181" spans="1:10" hidden="1" x14ac:dyDescent="0.35">
      <c r="A181" t="s">
        <v>377</v>
      </c>
      <c r="B181" t="s">
        <v>378</v>
      </c>
      <c r="C181" t="s">
        <v>361</v>
      </c>
      <c r="D181" t="s">
        <v>364</v>
      </c>
      <c r="E181">
        <v>14</v>
      </c>
      <c r="F181">
        <v>14990</v>
      </c>
      <c r="G181">
        <f t="shared" si="7"/>
        <v>209860</v>
      </c>
      <c r="H181">
        <f t="shared" si="6"/>
        <v>-209846</v>
      </c>
      <c r="I181">
        <f>_xlfn.XLOOKUP(A181,'[1]Forecast 2026'!$A:$A,'[1]Forecast 2026'!$AJ:$AJ,"NA",0,1)</f>
        <v>14</v>
      </c>
      <c r="J181">
        <f t="shared" si="8"/>
        <v>0</v>
      </c>
    </row>
    <row r="182" spans="1:10" hidden="1" x14ac:dyDescent="0.35">
      <c r="A182" t="s">
        <v>379</v>
      </c>
      <c r="B182" t="s">
        <v>380</v>
      </c>
      <c r="C182" t="s">
        <v>361</v>
      </c>
      <c r="D182" t="s">
        <v>364</v>
      </c>
      <c r="E182">
        <v>7</v>
      </c>
      <c r="F182">
        <v>159990</v>
      </c>
      <c r="G182">
        <f t="shared" si="7"/>
        <v>1119930</v>
      </c>
      <c r="H182">
        <f t="shared" si="6"/>
        <v>-1119923</v>
      </c>
      <c r="I182">
        <f>_xlfn.XLOOKUP(A182,'[1]Forecast 2026'!$A:$A,'[1]Forecast 2026'!$AJ:$AJ,"NA",0,1)</f>
        <v>7</v>
      </c>
      <c r="J182">
        <f t="shared" si="8"/>
        <v>0</v>
      </c>
    </row>
    <row r="183" spans="1:10" hidden="1" x14ac:dyDescent="0.35">
      <c r="A183" t="s">
        <v>381</v>
      </c>
      <c r="B183" t="s">
        <v>382</v>
      </c>
      <c r="C183" t="s">
        <v>361</v>
      </c>
      <c r="D183" t="s">
        <v>364</v>
      </c>
      <c r="E183">
        <v>22</v>
      </c>
      <c r="F183">
        <v>179990</v>
      </c>
      <c r="G183">
        <f t="shared" si="7"/>
        <v>3959780</v>
      </c>
      <c r="H183">
        <f t="shared" si="6"/>
        <v>-3959758</v>
      </c>
      <c r="I183">
        <f>_xlfn.XLOOKUP(A183,'[1]Forecast 2026'!$A:$A,'[1]Forecast 2026'!$AJ:$AJ,"NA",0,1)</f>
        <v>22</v>
      </c>
      <c r="J183">
        <f t="shared" si="8"/>
        <v>0</v>
      </c>
    </row>
    <row r="184" spans="1:10" hidden="1" x14ac:dyDescent="0.35">
      <c r="A184" t="s">
        <v>383</v>
      </c>
      <c r="B184" t="s">
        <v>384</v>
      </c>
      <c r="C184" t="s">
        <v>361</v>
      </c>
      <c r="D184" t="s">
        <v>364</v>
      </c>
      <c r="E184">
        <v>8</v>
      </c>
      <c r="F184">
        <v>269990</v>
      </c>
      <c r="G184">
        <f t="shared" si="7"/>
        <v>2159920</v>
      </c>
      <c r="H184">
        <f t="shared" si="6"/>
        <v>-2159912</v>
      </c>
      <c r="I184">
        <f>_xlfn.XLOOKUP(A184,'[1]Forecast 2026'!$A:$A,'[1]Forecast 2026'!$AJ:$AJ,"NA",0,1)</f>
        <v>8</v>
      </c>
      <c r="J184">
        <f t="shared" si="8"/>
        <v>0</v>
      </c>
    </row>
    <row r="185" spans="1:10" hidden="1" x14ac:dyDescent="0.35">
      <c r="A185" t="s">
        <v>385</v>
      </c>
      <c r="B185" t="s">
        <v>386</v>
      </c>
      <c r="C185" t="s">
        <v>361</v>
      </c>
      <c r="D185" t="s">
        <v>364</v>
      </c>
      <c r="E185">
        <v>0</v>
      </c>
      <c r="F185">
        <v>329990</v>
      </c>
      <c r="G185">
        <f t="shared" si="7"/>
        <v>0</v>
      </c>
      <c r="H185">
        <f t="shared" si="6"/>
        <v>0</v>
      </c>
      <c r="I185">
        <f>_xlfn.XLOOKUP(A185,'[1]Forecast 2026'!$A:$A,'[1]Forecast 2026'!$AJ:$AJ,"NA",0,1)</f>
        <v>0</v>
      </c>
      <c r="J185">
        <f t="shared" si="8"/>
        <v>0</v>
      </c>
    </row>
    <row r="186" spans="1:10" hidden="1" x14ac:dyDescent="0.35">
      <c r="A186" t="s">
        <v>387</v>
      </c>
      <c r="B186" t="s">
        <v>388</v>
      </c>
      <c r="C186" t="s">
        <v>361</v>
      </c>
      <c r="D186" t="s">
        <v>364</v>
      </c>
      <c r="E186">
        <v>0</v>
      </c>
      <c r="F186">
        <v>59990</v>
      </c>
      <c r="G186">
        <f t="shared" si="7"/>
        <v>0</v>
      </c>
      <c r="H186">
        <f t="shared" si="6"/>
        <v>0</v>
      </c>
      <c r="I186">
        <f>_xlfn.XLOOKUP(A186,'[1]Forecast 2026'!$A:$A,'[1]Forecast 2026'!$AJ:$AJ,"NA",0,1)</f>
        <v>0</v>
      </c>
      <c r="J186">
        <f t="shared" si="8"/>
        <v>0</v>
      </c>
    </row>
    <row r="187" spans="1:10" hidden="1" x14ac:dyDescent="0.35">
      <c r="A187" t="s">
        <v>389</v>
      </c>
      <c r="B187" t="s">
        <v>390</v>
      </c>
      <c r="C187" t="s">
        <v>361</v>
      </c>
      <c r="D187" t="s">
        <v>364</v>
      </c>
      <c r="E187">
        <v>0</v>
      </c>
      <c r="F187">
        <v>159990</v>
      </c>
      <c r="G187">
        <f t="shared" si="7"/>
        <v>0</v>
      </c>
      <c r="H187">
        <f t="shared" si="6"/>
        <v>0</v>
      </c>
      <c r="I187">
        <f>_xlfn.XLOOKUP(A187,'[1]Forecast 2026'!$A:$A,'[1]Forecast 2026'!$AJ:$AJ,"NA",0,1)</f>
        <v>0</v>
      </c>
      <c r="J187">
        <f t="shared" si="8"/>
        <v>0</v>
      </c>
    </row>
    <row r="188" spans="1:10" hidden="1" x14ac:dyDescent="0.35">
      <c r="A188" t="s">
        <v>391</v>
      </c>
      <c r="B188" t="s">
        <v>392</v>
      </c>
      <c r="C188" t="s">
        <v>361</v>
      </c>
      <c r="D188" t="s">
        <v>364</v>
      </c>
      <c r="E188">
        <v>0</v>
      </c>
      <c r="F188">
        <v>199990</v>
      </c>
      <c r="G188">
        <f t="shared" si="7"/>
        <v>0</v>
      </c>
      <c r="H188">
        <f t="shared" si="6"/>
        <v>0</v>
      </c>
      <c r="I188">
        <f>_xlfn.XLOOKUP(A188,'[1]Forecast 2026'!$A:$A,'[1]Forecast 2026'!$AJ:$AJ,"NA",0,1)</f>
        <v>0</v>
      </c>
      <c r="J188">
        <f t="shared" si="8"/>
        <v>0</v>
      </c>
    </row>
    <row r="189" spans="1:10" hidden="1" x14ac:dyDescent="0.35">
      <c r="A189" t="s">
        <v>393</v>
      </c>
      <c r="B189" t="s">
        <v>394</v>
      </c>
      <c r="C189" t="s">
        <v>361</v>
      </c>
      <c r="D189" t="s">
        <v>48</v>
      </c>
      <c r="E189">
        <v>0</v>
      </c>
      <c r="F189">
        <v>29990</v>
      </c>
      <c r="G189">
        <f t="shared" si="7"/>
        <v>0</v>
      </c>
      <c r="H189">
        <f t="shared" si="6"/>
        <v>0</v>
      </c>
      <c r="I189">
        <f>_xlfn.XLOOKUP(A189,'[1]Forecast 2026'!$A:$A,'[1]Forecast 2026'!$AJ:$AJ,"NA",0,1)</f>
        <v>0</v>
      </c>
      <c r="J189">
        <f t="shared" si="8"/>
        <v>0</v>
      </c>
    </row>
    <row r="190" spans="1:10" hidden="1" x14ac:dyDescent="0.35">
      <c r="A190" t="s">
        <v>395</v>
      </c>
      <c r="B190" t="s">
        <v>396</v>
      </c>
      <c r="C190" t="s">
        <v>361</v>
      </c>
      <c r="D190" t="s">
        <v>48</v>
      </c>
      <c r="E190">
        <v>0</v>
      </c>
      <c r="F190">
        <v>10990</v>
      </c>
      <c r="G190">
        <f t="shared" si="7"/>
        <v>0</v>
      </c>
      <c r="H190">
        <f t="shared" si="6"/>
        <v>0</v>
      </c>
      <c r="I190">
        <f>_xlfn.XLOOKUP(A190,'[1]Forecast 2026'!$A:$A,'[1]Forecast 2026'!$AJ:$AJ,"NA",0,1)</f>
        <v>0</v>
      </c>
      <c r="J190">
        <f t="shared" si="8"/>
        <v>0</v>
      </c>
    </row>
    <row r="191" spans="1:10" hidden="1" x14ac:dyDescent="0.35">
      <c r="A191" t="s">
        <v>397</v>
      </c>
      <c r="B191" t="s">
        <v>398</v>
      </c>
      <c r="C191" t="s">
        <v>361</v>
      </c>
      <c r="D191" t="s">
        <v>364</v>
      </c>
      <c r="E191">
        <v>0</v>
      </c>
      <c r="F191">
        <v>99990</v>
      </c>
      <c r="G191">
        <f t="shared" si="7"/>
        <v>0</v>
      </c>
      <c r="H191">
        <f t="shared" si="6"/>
        <v>0</v>
      </c>
      <c r="I191">
        <f>_xlfn.XLOOKUP(A191,'[1]Forecast 2026'!$A:$A,'[1]Forecast 2026'!$AJ:$AJ,"NA",0,1)</f>
        <v>0</v>
      </c>
      <c r="J191">
        <f t="shared" si="8"/>
        <v>0</v>
      </c>
    </row>
    <row r="192" spans="1:10" hidden="1" x14ac:dyDescent="0.35">
      <c r="A192" t="s">
        <v>399</v>
      </c>
      <c r="B192" t="s">
        <v>400</v>
      </c>
      <c r="C192" t="s">
        <v>361</v>
      </c>
      <c r="D192" t="s">
        <v>364</v>
      </c>
      <c r="E192">
        <v>0</v>
      </c>
      <c r="F192">
        <v>38990</v>
      </c>
      <c r="G192">
        <f t="shared" si="7"/>
        <v>0</v>
      </c>
      <c r="H192">
        <f t="shared" si="6"/>
        <v>0</v>
      </c>
      <c r="I192">
        <f>_xlfn.XLOOKUP(A192,'[1]Forecast 2026'!$A:$A,'[1]Forecast 2026'!$AJ:$AJ,"NA",0,1)</f>
        <v>0</v>
      </c>
      <c r="J192">
        <f t="shared" si="8"/>
        <v>0</v>
      </c>
    </row>
    <row r="193" spans="1:10" hidden="1" x14ac:dyDescent="0.35">
      <c r="A193" t="s">
        <v>401</v>
      </c>
      <c r="B193" t="s">
        <v>402</v>
      </c>
      <c r="C193" t="s">
        <v>361</v>
      </c>
      <c r="D193" t="s">
        <v>48</v>
      </c>
      <c r="E193">
        <v>0</v>
      </c>
      <c r="F193">
        <v>17990</v>
      </c>
      <c r="G193">
        <f t="shared" si="7"/>
        <v>0</v>
      </c>
      <c r="H193">
        <f t="shared" si="6"/>
        <v>0</v>
      </c>
      <c r="I193">
        <f>_xlfn.XLOOKUP(A193,'[1]Forecast 2026'!$A:$A,'[1]Forecast 2026'!$AJ:$AJ,"NA",0,1)</f>
        <v>0</v>
      </c>
      <c r="J193">
        <f t="shared" si="8"/>
        <v>0</v>
      </c>
    </row>
    <row r="194" spans="1:10" hidden="1" x14ac:dyDescent="0.35">
      <c r="A194" t="s">
        <v>403</v>
      </c>
      <c r="B194" t="s">
        <v>404</v>
      </c>
      <c r="C194" t="s">
        <v>361</v>
      </c>
      <c r="D194" t="s">
        <v>364</v>
      </c>
      <c r="E194">
        <v>30</v>
      </c>
      <c r="F194">
        <v>16990</v>
      </c>
      <c r="G194">
        <f t="shared" si="7"/>
        <v>509700</v>
      </c>
      <c r="H194">
        <f t="shared" si="6"/>
        <v>-509670</v>
      </c>
      <c r="I194">
        <f>_xlfn.XLOOKUP(A194,'[1]Forecast 2026'!$A:$A,'[1]Forecast 2026'!$AJ:$AJ,"NA",0,1)</f>
        <v>30</v>
      </c>
      <c r="J194">
        <f t="shared" si="8"/>
        <v>0</v>
      </c>
    </row>
    <row r="195" spans="1:10" hidden="1" x14ac:dyDescent="0.35">
      <c r="A195" t="s">
        <v>405</v>
      </c>
      <c r="B195" t="s">
        <v>406</v>
      </c>
      <c r="C195" t="s">
        <v>361</v>
      </c>
      <c r="D195" t="s">
        <v>364</v>
      </c>
      <c r="E195">
        <v>30</v>
      </c>
      <c r="F195">
        <v>16990</v>
      </c>
      <c r="G195">
        <f t="shared" si="7"/>
        <v>509700</v>
      </c>
      <c r="H195">
        <f t="shared" ref="H195:H258" si="9">E195-G195</f>
        <v>-509670</v>
      </c>
      <c r="I195">
        <f>_xlfn.XLOOKUP(A195,'[1]Forecast 2026'!$A:$A,'[1]Forecast 2026'!$AJ:$AJ,"NA",0,1)</f>
        <v>30</v>
      </c>
      <c r="J195">
        <f t="shared" si="8"/>
        <v>0</v>
      </c>
    </row>
    <row r="196" spans="1:10" hidden="1" x14ac:dyDescent="0.35">
      <c r="A196" t="s">
        <v>407</v>
      </c>
      <c r="B196" t="s">
        <v>408</v>
      </c>
      <c r="C196" t="s">
        <v>361</v>
      </c>
      <c r="D196" t="s">
        <v>364</v>
      </c>
      <c r="E196">
        <v>0</v>
      </c>
      <c r="F196">
        <v>9990</v>
      </c>
      <c r="G196">
        <f t="shared" ref="G196:G259" si="10">F196*E196</f>
        <v>0</v>
      </c>
      <c r="H196">
        <f t="shared" si="9"/>
        <v>0</v>
      </c>
      <c r="I196">
        <f>_xlfn.XLOOKUP(A196,'[1]Forecast 2026'!$A:$A,'[1]Forecast 2026'!$AJ:$AJ,"NA",0,1)</f>
        <v>0</v>
      </c>
      <c r="J196">
        <f t="shared" ref="J196:J259" si="11">IFERROR(E196-I196,"")</f>
        <v>0</v>
      </c>
    </row>
    <row r="197" spans="1:10" hidden="1" x14ac:dyDescent="0.35">
      <c r="A197" t="s">
        <v>409</v>
      </c>
      <c r="B197" t="s">
        <v>410</v>
      </c>
      <c r="C197" t="s">
        <v>361</v>
      </c>
      <c r="D197" t="s">
        <v>364</v>
      </c>
      <c r="E197">
        <v>30</v>
      </c>
      <c r="F197">
        <v>7990</v>
      </c>
      <c r="G197">
        <f t="shared" si="10"/>
        <v>239700</v>
      </c>
      <c r="H197">
        <f t="shared" si="9"/>
        <v>-239670</v>
      </c>
      <c r="I197">
        <f>_xlfn.XLOOKUP(A197,'[1]Forecast 2026'!$A:$A,'[1]Forecast 2026'!$AJ:$AJ,"NA",0,1)</f>
        <v>30</v>
      </c>
      <c r="J197">
        <f t="shared" si="11"/>
        <v>0</v>
      </c>
    </row>
    <row r="198" spans="1:10" hidden="1" x14ac:dyDescent="0.35">
      <c r="A198" t="s">
        <v>411</v>
      </c>
      <c r="B198" t="s">
        <v>412</v>
      </c>
      <c r="C198" t="s">
        <v>361</v>
      </c>
      <c r="D198" t="s">
        <v>48</v>
      </c>
      <c r="E198">
        <v>8</v>
      </c>
      <c r="F198">
        <v>7990</v>
      </c>
      <c r="G198">
        <f t="shared" si="10"/>
        <v>63920</v>
      </c>
      <c r="H198">
        <f t="shared" si="9"/>
        <v>-63912</v>
      </c>
      <c r="I198">
        <f>_xlfn.XLOOKUP(A198,'[1]Forecast 2026'!$A:$A,'[1]Forecast 2026'!$AJ:$AJ,"NA",0,1)</f>
        <v>8</v>
      </c>
      <c r="J198">
        <f t="shared" si="11"/>
        <v>0</v>
      </c>
    </row>
    <row r="199" spans="1:10" hidden="1" x14ac:dyDescent="0.35">
      <c r="A199" t="s">
        <v>413</v>
      </c>
      <c r="B199" t="s">
        <v>414</v>
      </c>
      <c r="C199" t="s">
        <v>361</v>
      </c>
      <c r="D199" t="s">
        <v>364</v>
      </c>
      <c r="E199">
        <v>0</v>
      </c>
      <c r="F199">
        <v>0</v>
      </c>
      <c r="G199">
        <f t="shared" si="10"/>
        <v>0</v>
      </c>
      <c r="H199">
        <f t="shared" si="9"/>
        <v>0</v>
      </c>
      <c r="I199">
        <f>_xlfn.XLOOKUP(A199,'[1]Forecast 2026'!$A:$A,'[1]Forecast 2026'!$AJ:$AJ,"NA",0,1)</f>
        <v>0</v>
      </c>
      <c r="J199">
        <f t="shared" si="11"/>
        <v>0</v>
      </c>
    </row>
    <row r="200" spans="1:10" hidden="1" x14ac:dyDescent="0.35">
      <c r="A200" t="s">
        <v>415</v>
      </c>
      <c r="B200" t="s">
        <v>416</v>
      </c>
      <c r="C200" t="s">
        <v>361</v>
      </c>
      <c r="D200" t="s">
        <v>364</v>
      </c>
      <c r="E200">
        <v>0</v>
      </c>
      <c r="F200">
        <v>29990</v>
      </c>
      <c r="G200">
        <f t="shared" si="10"/>
        <v>0</v>
      </c>
      <c r="H200">
        <f t="shared" si="9"/>
        <v>0</v>
      </c>
      <c r="I200">
        <f>_xlfn.XLOOKUP(A200,'[1]Forecast 2026'!$A:$A,'[1]Forecast 2026'!$AJ:$AJ,"NA",0,1)</f>
        <v>0</v>
      </c>
      <c r="J200">
        <f t="shared" si="11"/>
        <v>0</v>
      </c>
    </row>
    <row r="201" spans="1:10" hidden="1" x14ac:dyDescent="0.35">
      <c r="A201" t="s">
        <v>417</v>
      </c>
      <c r="B201" t="s">
        <v>418</v>
      </c>
      <c r="C201" t="s">
        <v>361</v>
      </c>
      <c r="D201" t="s">
        <v>364</v>
      </c>
      <c r="E201">
        <v>0</v>
      </c>
      <c r="F201">
        <v>129990</v>
      </c>
      <c r="G201">
        <f t="shared" si="10"/>
        <v>0</v>
      </c>
      <c r="H201">
        <f t="shared" si="9"/>
        <v>0</v>
      </c>
      <c r="I201">
        <f>_xlfn.XLOOKUP(A201,'[1]Forecast 2026'!$A:$A,'[1]Forecast 2026'!$AJ:$AJ,"NA",0,1)</f>
        <v>0</v>
      </c>
      <c r="J201">
        <f t="shared" si="11"/>
        <v>0</v>
      </c>
    </row>
    <row r="202" spans="1:10" hidden="1" x14ac:dyDescent="0.35">
      <c r="A202" t="s">
        <v>419</v>
      </c>
      <c r="B202" t="s">
        <v>420</v>
      </c>
      <c r="C202" t="s">
        <v>361</v>
      </c>
      <c r="D202" t="s">
        <v>48</v>
      </c>
      <c r="E202">
        <v>0</v>
      </c>
      <c r="F202">
        <v>34990</v>
      </c>
      <c r="G202">
        <f t="shared" si="10"/>
        <v>0</v>
      </c>
      <c r="H202">
        <f t="shared" si="9"/>
        <v>0</v>
      </c>
      <c r="I202">
        <f>_xlfn.XLOOKUP(A202,'[1]Forecast 2026'!$A:$A,'[1]Forecast 2026'!$AJ:$AJ,"NA",0,1)</f>
        <v>0</v>
      </c>
      <c r="J202">
        <f t="shared" si="11"/>
        <v>0</v>
      </c>
    </row>
    <row r="203" spans="1:10" hidden="1" x14ac:dyDescent="0.35">
      <c r="A203" t="s">
        <v>421</v>
      </c>
      <c r="B203" t="s">
        <v>422</v>
      </c>
      <c r="C203" t="s">
        <v>361</v>
      </c>
      <c r="D203" t="s">
        <v>48</v>
      </c>
      <c r="E203">
        <v>0</v>
      </c>
      <c r="F203">
        <v>34990</v>
      </c>
      <c r="G203">
        <f t="shared" si="10"/>
        <v>0</v>
      </c>
      <c r="H203">
        <f t="shared" si="9"/>
        <v>0</v>
      </c>
      <c r="I203">
        <f>_xlfn.XLOOKUP(A203,'[1]Forecast 2026'!$A:$A,'[1]Forecast 2026'!$AJ:$AJ,"NA",0,1)</f>
        <v>0</v>
      </c>
      <c r="J203">
        <f t="shared" si="11"/>
        <v>0</v>
      </c>
    </row>
    <row r="204" spans="1:10" hidden="1" x14ac:dyDescent="0.35">
      <c r="A204" t="s">
        <v>423</v>
      </c>
      <c r="B204" t="s">
        <v>424</v>
      </c>
      <c r="C204" t="s">
        <v>361</v>
      </c>
      <c r="D204" t="s">
        <v>48</v>
      </c>
      <c r="E204">
        <v>0</v>
      </c>
      <c r="F204">
        <v>0</v>
      </c>
      <c r="G204">
        <f t="shared" si="10"/>
        <v>0</v>
      </c>
      <c r="H204">
        <f t="shared" si="9"/>
        <v>0</v>
      </c>
      <c r="I204">
        <f>_xlfn.XLOOKUP(A204,'[1]Forecast 2026'!$A:$A,'[1]Forecast 2026'!$AJ:$AJ,"NA",0,1)</f>
        <v>0</v>
      </c>
      <c r="J204">
        <f t="shared" si="11"/>
        <v>0</v>
      </c>
    </row>
    <row r="205" spans="1:10" hidden="1" x14ac:dyDescent="0.35">
      <c r="A205" t="s">
        <v>425</v>
      </c>
      <c r="B205" t="s">
        <v>426</v>
      </c>
      <c r="C205" t="s">
        <v>361</v>
      </c>
      <c r="D205" t="s">
        <v>364</v>
      </c>
      <c r="E205">
        <v>1</v>
      </c>
      <c r="F205">
        <v>0</v>
      </c>
      <c r="G205">
        <f t="shared" si="10"/>
        <v>0</v>
      </c>
      <c r="H205">
        <f t="shared" si="9"/>
        <v>1</v>
      </c>
      <c r="I205">
        <f>_xlfn.XLOOKUP(A205,'[1]Forecast 2026'!$A:$A,'[1]Forecast 2026'!$AJ:$AJ,"NA",0,1)</f>
        <v>1</v>
      </c>
      <c r="J205">
        <f t="shared" si="11"/>
        <v>0</v>
      </c>
    </row>
    <row r="206" spans="1:10" hidden="1" x14ac:dyDescent="0.35">
      <c r="A206" t="s">
        <v>427</v>
      </c>
      <c r="B206" t="s">
        <v>428</v>
      </c>
      <c r="C206" t="s">
        <v>429</v>
      </c>
      <c r="D206" t="s">
        <v>430</v>
      </c>
      <c r="E206">
        <v>0</v>
      </c>
      <c r="F206">
        <v>14990</v>
      </c>
      <c r="G206">
        <f t="shared" si="10"/>
        <v>0</v>
      </c>
      <c r="H206">
        <f t="shared" si="9"/>
        <v>0</v>
      </c>
      <c r="I206">
        <f>_xlfn.XLOOKUP(A206,'[1]Forecast 2026'!$A:$A,'[1]Forecast 2026'!$AJ:$AJ,"NA",0,1)</f>
        <v>0</v>
      </c>
      <c r="J206">
        <f t="shared" si="11"/>
        <v>0</v>
      </c>
    </row>
    <row r="207" spans="1:10" hidden="1" x14ac:dyDescent="0.35">
      <c r="A207" t="s">
        <v>431</v>
      </c>
      <c r="B207" t="s">
        <v>432</v>
      </c>
      <c r="C207" t="s">
        <v>429</v>
      </c>
      <c r="D207" t="s">
        <v>430</v>
      </c>
      <c r="E207">
        <v>0</v>
      </c>
      <c r="F207">
        <v>16990</v>
      </c>
      <c r="G207">
        <f t="shared" si="10"/>
        <v>0</v>
      </c>
      <c r="H207">
        <f t="shared" si="9"/>
        <v>0</v>
      </c>
      <c r="I207">
        <f>_xlfn.XLOOKUP(A207,'[1]Forecast 2026'!$A:$A,'[1]Forecast 2026'!$AJ:$AJ,"NA",0,1)</f>
        <v>0</v>
      </c>
      <c r="J207">
        <f t="shared" si="11"/>
        <v>0</v>
      </c>
    </row>
    <row r="208" spans="1:10" hidden="1" x14ac:dyDescent="0.35">
      <c r="A208" t="s">
        <v>433</v>
      </c>
      <c r="B208" t="s">
        <v>434</v>
      </c>
      <c r="C208" t="s">
        <v>429</v>
      </c>
      <c r="D208" t="s">
        <v>430</v>
      </c>
      <c r="E208">
        <v>2</v>
      </c>
      <c r="F208">
        <v>36990</v>
      </c>
      <c r="G208">
        <f t="shared" si="10"/>
        <v>73980</v>
      </c>
      <c r="H208">
        <f t="shared" si="9"/>
        <v>-73978</v>
      </c>
      <c r="I208">
        <f>_xlfn.XLOOKUP(A208,'[1]Forecast 2026'!$A:$A,'[1]Forecast 2026'!$AJ:$AJ,"NA",0,1)</f>
        <v>2</v>
      </c>
      <c r="J208">
        <f t="shared" si="11"/>
        <v>0</v>
      </c>
    </row>
    <row r="209" spans="1:10" hidden="1" x14ac:dyDescent="0.35">
      <c r="A209" t="s">
        <v>435</v>
      </c>
      <c r="B209" t="s">
        <v>436</v>
      </c>
      <c r="C209" t="s">
        <v>429</v>
      </c>
      <c r="D209" t="s">
        <v>430</v>
      </c>
      <c r="E209">
        <v>20</v>
      </c>
      <c r="F209">
        <v>99990</v>
      </c>
      <c r="G209">
        <f t="shared" si="10"/>
        <v>1999800</v>
      </c>
      <c r="H209">
        <f t="shared" si="9"/>
        <v>-1999780</v>
      </c>
      <c r="I209">
        <f>_xlfn.XLOOKUP(A209,'[1]Forecast 2026'!$A:$A,'[1]Forecast 2026'!$AJ:$AJ,"NA",0,1)</f>
        <v>20</v>
      </c>
      <c r="J209">
        <f t="shared" si="11"/>
        <v>0</v>
      </c>
    </row>
    <row r="210" spans="1:10" hidden="1" x14ac:dyDescent="0.35">
      <c r="A210" t="s">
        <v>437</v>
      </c>
      <c r="B210" t="s">
        <v>438</v>
      </c>
      <c r="C210" t="s">
        <v>429</v>
      </c>
      <c r="D210" t="s">
        <v>430</v>
      </c>
      <c r="E210">
        <v>6</v>
      </c>
      <c r="F210">
        <v>22990</v>
      </c>
      <c r="G210">
        <f t="shared" si="10"/>
        <v>137940</v>
      </c>
      <c r="H210">
        <f t="shared" si="9"/>
        <v>-137934</v>
      </c>
      <c r="I210">
        <f>_xlfn.XLOOKUP(A210,'[1]Forecast 2026'!$A:$A,'[1]Forecast 2026'!$AJ:$AJ,"NA",0,1)</f>
        <v>6</v>
      </c>
      <c r="J210">
        <f t="shared" si="11"/>
        <v>0</v>
      </c>
    </row>
    <row r="211" spans="1:10" hidden="1" x14ac:dyDescent="0.35">
      <c r="A211" t="s">
        <v>439</v>
      </c>
      <c r="B211" t="s">
        <v>440</v>
      </c>
      <c r="C211" t="s">
        <v>429</v>
      </c>
      <c r="D211" t="s">
        <v>430</v>
      </c>
      <c r="E211">
        <v>0</v>
      </c>
      <c r="F211">
        <v>19980</v>
      </c>
      <c r="G211">
        <f t="shared" si="10"/>
        <v>0</v>
      </c>
      <c r="H211">
        <f t="shared" si="9"/>
        <v>0</v>
      </c>
      <c r="I211">
        <f>_xlfn.XLOOKUP(A211,'[1]Forecast 2026'!$A:$A,'[1]Forecast 2026'!$AJ:$AJ,"NA",0,1)</f>
        <v>0</v>
      </c>
      <c r="J211">
        <f t="shared" si="11"/>
        <v>0</v>
      </c>
    </row>
    <row r="212" spans="1:10" hidden="1" x14ac:dyDescent="0.35">
      <c r="A212" t="s">
        <v>441</v>
      </c>
      <c r="B212" t="s">
        <v>442</v>
      </c>
      <c r="C212" t="s">
        <v>429</v>
      </c>
      <c r="D212" t="s">
        <v>430</v>
      </c>
      <c r="E212">
        <v>0</v>
      </c>
      <c r="F212">
        <v>109990</v>
      </c>
      <c r="G212">
        <f t="shared" si="10"/>
        <v>0</v>
      </c>
      <c r="H212">
        <f t="shared" si="9"/>
        <v>0</v>
      </c>
      <c r="I212">
        <f>_xlfn.XLOOKUP(A212,'[1]Forecast 2026'!$A:$A,'[1]Forecast 2026'!$AJ:$AJ,"NA",0,1)</f>
        <v>0</v>
      </c>
      <c r="J212">
        <f t="shared" si="11"/>
        <v>0</v>
      </c>
    </row>
    <row r="213" spans="1:10" hidden="1" x14ac:dyDescent="0.35">
      <c r="A213" t="s">
        <v>443</v>
      </c>
      <c r="B213" t="s">
        <v>444</v>
      </c>
      <c r="C213" t="s">
        <v>429</v>
      </c>
      <c r="D213" t="s">
        <v>430</v>
      </c>
      <c r="E213">
        <v>9</v>
      </c>
      <c r="F213">
        <v>14990</v>
      </c>
      <c r="G213">
        <f t="shared" si="10"/>
        <v>134910</v>
      </c>
      <c r="H213">
        <f t="shared" si="9"/>
        <v>-134901</v>
      </c>
      <c r="I213">
        <f>_xlfn.XLOOKUP(A213,'[1]Forecast 2026'!$A:$A,'[1]Forecast 2026'!$AJ:$AJ,"NA",0,1)</f>
        <v>9</v>
      </c>
      <c r="J213">
        <f t="shared" si="11"/>
        <v>0</v>
      </c>
    </row>
    <row r="214" spans="1:10" hidden="1" x14ac:dyDescent="0.35">
      <c r="A214" t="s">
        <v>445</v>
      </c>
      <c r="B214" t="s">
        <v>446</v>
      </c>
      <c r="C214" t="s">
        <v>429</v>
      </c>
      <c r="D214" t="s">
        <v>430</v>
      </c>
      <c r="E214">
        <v>0</v>
      </c>
      <c r="F214">
        <v>15990</v>
      </c>
      <c r="G214">
        <f t="shared" si="10"/>
        <v>0</v>
      </c>
      <c r="H214">
        <f t="shared" si="9"/>
        <v>0</v>
      </c>
      <c r="I214">
        <f>_xlfn.XLOOKUP(A214,'[1]Forecast 2026'!$A:$A,'[1]Forecast 2026'!$AJ:$AJ,"NA",0,1)</f>
        <v>0</v>
      </c>
      <c r="J214">
        <f t="shared" si="11"/>
        <v>0</v>
      </c>
    </row>
    <row r="215" spans="1:10" hidden="1" x14ac:dyDescent="0.35">
      <c r="A215" t="s">
        <v>447</v>
      </c>
      <c r="B215" t="s">
        <v>448</v>
      </c>
      <c r="C215" t="s">
        <v>429</v>
      </c>
      <c r="D215" t="s">
        <v>430</v>
      </c>
      <c r="E215">
        <v>1</v>
      </c>
      <c r="F215">
        <v>18990</v>
      </c>
      <c r="G215">
        <f t="shared" si="10"/>
        <v>18990</v>
      </c>
      <c r="H215">
        <f t="shared" si="9"/>
        <v>-18989</v>
      </c>
      <c r="I215">
        <f>_xlfn.XLOOKUP(A215,'[1]Forecast 2026'!$A:$A,'[1]Forecast 2026'!$AJ:$AJ,"NA",0,1)</f>
        <v>1</v>
      </c>
      <c r="J215">
        <f t="shared" si="11"/>
        <v>0</v>
      </c>
    </row>
    <row r="216" spans="1:10" hidden="1" x14ac:dyDescent="0.35">
      <c r="A216" t="s">
        <v>449</v>
      </c>
      <c r="B216" t="s">
        <v>450</v>
      </c>
      <c r="C216" t="s">
        <v>429</v>
      </c>
      <c r="D216" t="s">
        <v>430</v>
      </c>
      <c r="E216">
        <v>0</v>
      </c>
      <c r="F216">
        <v>39990</v>
      </c>
      <c r="G216">
        <f t="shared" si="10"/>
        <v>0</v>
      </c>
      <c r="H216">
        <f t="shared" si="9"/>
        <v>0</v>
      </c>
      <c r="I216">
        <f>_xlfn.XLOOKUP(A216,'[1]Forecast 2026'!$A:$A,'[1]Forecast 2026'!$AJ:$AJ,"NA",0,1)</f>
        <v>0</v>
      </c>
      <c r="J216">
        <f t="shared" si="11"/>
        <v>0</v>
      </c>
    </row>
    <row r="217" spans="1:10" hidden="1" x14ac:dyDescent="0.35">
      <c r="A217" t="s">
        <v>451</v>
      </c>
      <c r="B217" t="s">
        <v>452</v>
      </c>
      <c r="C217" t="s">
        <v>429</v>
      </c>
      <c r="D217" t="s">
        <v>430</v>
      </c>
      <c r="E217">
        <v>0</v>
      </c>
      <c r="F217">
        <v>44990</v>
      </c>
      <c r="G217">
        <f t="shared" si="10"/>
        <v>0</v>
      </c>
      <c r="H217">
        <f t="shared" si="9"/>
        <v>0</v>
      </c>
      <c r="I217">
        <f>_xlfn.XLOOKUP(A217,'[1]Forecast 2026'!$A:$A,'[1]Forecast 2026'!$AJ:$AJ,"NA",0,1)</f>
        <v>0</v>
      </c>
      <c r="J217">
        <f t="shared" si="11"/>
        <v>0</v>
      </c>
    </row>
    <row r="218" spans="1:10" hidden="1" x14ac:dyDescent="0.35">
      <c r="A218" t="s">
        <v>453</v>
      </c>
      <c r="B218" t="s">
        <v>454</v>
      </c>
      <c r="C218" t="s">
        <v>429</v>
      </c>
      <c r="D218" t="s">
        <v>430</v>
      </c>
      <c r="E218">
        <v>0</v>
      </c>
      <c r="F218">
        <v>49990</v>
      </c>
      <c r="G218">
        <f t="shared" si="10"/>
        <v>0</v>
      </c>
      <c r="H218">
        <f t="shared" si="9"/>
        <v>0</v>
      </c>
      <c r="I218">
        <f>_xlfn.XLOOKUP(A218,'[1]Forecast 2026'!$A:$A,'[1]Forecast 2026'!$AJ:$AJ,"NA",0,1)</f>
        <v>0</v>
      </c>
      <c r="J218">
        <f t="shared" si="11"/>
        <v>0</v>
      </c>
    </row>
    <row r="219" spans="1:10" hidden="1" x14ac:dyDescent="0.35">
      <c r="A219" t="s">
        <v>455</v>
      </c>
      <c r="B219" t="s">
        <v>456</v>
      </c>
      <c r="C219" t="s">
        <v>429</v>
      </c>
      <c r="D219" t="s">
        <v>430</v>
      </c>
      <c r="E219">
        <v>0</v>
      </c>
      <c r="F219">
        <v>54990</v>
      </c>
      <c r="G219">
        <f t="shared" si="10"/>
        <v>0</v>
      </c>
      <c r="H219">
        <f t="shared" si="9"/>
        <v>0</v>
      </c>
      <c r="I219">
        <f>_xlfn.XLOOKUP(A219,'[1]Forecast 2026'!$A:$A,'[1]Forecast 2026'!$AJ:$AJ,"NA",0,1)</f>
        <v>0</v>
      </c>
      <c r="J219">
        <f t="shared" si="11"/>
        <v>0</v>
      </c>
    </row>
    <row r="220" spans="1:10" hidden="1" x14ac:dyDescent="0.35">
      <c r="A220" t="s">
        <v>457</v>
      </c>
      <c r="B220" t="s">
        <v>458</v>
      </c>
      <c r="C220" t="s">
        <v>429</v>
      </c>
      <c r="D220" t="s">
        <v>430</v>
      </c>
      <c r="E220">
        <v>6</v>
      </c>
      <c r="F220">
        <v>49990</v>
      </c>
      <c r="G220">
        <f t="shared" si="10"/>
        <v>299940</v>
      </c>
      <c r="H220">
        <f t="shared" si="9"/>
        <v>-299934</v>
      </c>
      <c r="I220">
        <f>_xlfn.XLOOKUP(A220,'[1]Forecast 2026'!$A:$A,'[1]Forecast 2026'!$AJ:$AJ,"NA",0,1)</f>
        <v>6</v>
      </c>
      <c r="J220">
        <f t="shared" si="11"/>
        <v>0</v>
      </c>
    </row>
    <row r="221" spans="1:10" hidden="1" x14ac:dyDescent="0.35">
      <c r="A221" t="s">
        <v>459</v>
      </c>
      <c r="B221" t="s">
        <v>460</v>
      </c>
      <c r="C221" t="s">
        <v>429</v>
      </c>
      <c r="D221" t="s">
        <v>430</v>
      </c>
      <c r="E221">
        <v>0</v>
      </c>
      <c r="F221">
        <v>74990</v>
      </c>
      <c r="G221">
        <f t="shared" si="10"/>
        <v>0</v>
      </c>
      <c r="H221">
        <f t="shared" si="9"/>
        <v>0</v>
      </c>
      <c r="I221">
        <f>_xlfn.XLOOKUP(A221,'[1]Forecast 2026'!$A:$A,'[1]Forecast 2026'!$AJ:$AJ,"NA",0,1)</f>
        <v>0</v>
      </c>
      <c r="J221">
        <f t="shared" si="11"/>
        <v>0</v>
      </c>
    </row>
    <row r="222" spans="1:10" hidden="1" x14ac:dyDescent="0.35">
      <c r="A222" t="s">
        <v>461</v>
      </c>
      <c r="B222" t="s">
        <v>462</v>
      </c>
      <c r="C222" t="s">
        <v>429</v>
      </c>
      <c r="D222" t="s">
        <v>430</v>
      </c>
      <c r="E222">
        <v>0</v>
      </c>
      <c r="F222">
        <v>69990</v>
      </c>
      <c r="G222">
        <f t="shared" si="10"/>
        <v>0</v>
      </c>
      <c r="H222">
        <f t="shared" si="9"/>
        <v>0</v>
      </c>
      <c r="I222">
        <f>_xlfn.XLOOKUP(A222,'[1]Forecast 2026'!$A:$A,'[1]Forecast 2026'!$AJ:$AJ,"NA",0,1)</f>
        <v>0</v>
      </c>
      <c r="J222">
        <f t="shared" si="11"/>
        <v>0</v>
      </c>
    </row>
    <row r="223" spans="1:10" hidden="1" x14ac:dyDescent="0.35">
      <c r="A223" t="s">
        <v>463</v>
      </c>
      <c r="B223" t="s">
        <v>464</v>
      </c>
      <c r="C223" t="s">
        <v>429</v>
      </c>
      <c r="D223" t="s">
        <v>430</v>
      </c>
      <c r="E223">
        <v>5</v>
      </c>
      <c r="F223">
        <v>299990</v>
      </c>
      <c r="G223">
        <f t="shared" si="10"/>
        <v>1499950</v>
      </c>
      <c r="H223">
        <f t="shared" si="9"/>
        <v>-1499945</v>
      </c>
      <c r="I223">
        <f>_xlfn.XLOOKUP(A223,'[1]Forecast 2026'!$A:$A,'[1]Forecast 2026'!$AJ:$AJ,"NA",0,1)</f>
        <v>5</v>
      </c>
      <c r="J223">
        <f t="shared" si="11"/>
        <v>0</v>
      </c>
    </row>
    <row r="224" spans="1:10" hidden="1" x14ac:dyDescent="0.35">
      <c r="A224" t="s">
        <v>465</v>
      </c>
      <c r="B224" t="s">
        <v>466</v>
      </c>
      <c r="C224" t="s">
        <v>429</v>
      </c>
      <c r="D224" t="s">
        <v>430</v>
      </c>
      <c r="E224">
        <v>4</v>
      </c>
      <c r="F224">
        <v>329990</v>
      </c>
      <c r="G224">
        <f t="shared" si="10"/>
        <v>1319960</v>
      </c>
      <c r="H224">
        <f t="shared" si="9"/>
        <v>-1319956</v>
      </c>
      <c r="I224">
        <f>_xlfn.XLOOKUP(A224,'[1]Forecast 2026'!$A:$A,'[1]Forecast 2026'!$AJ:$AJ,"NA",0,1)</f>
        <v>4</v>
      </c>
      <c r="J224">
        <f t="shared" si="11"/>
        <v>0</v>
      </c>
    </row>
    <row r="225" spans="1:10" hidden="1" x14ac:dyDescent="0.35">
      <c r="A225" t="s">
        <v>467</v>
      </c>
      <c r="B225" t="s">
        <v>468</v>
      </c>
      <c r="C225" t="s">
        <v>429</v>
      </c>
      <c r="D225" t="s">
        <v>469</v>
      </c>
      <c r="E225">
        <v>16</v>
      </c>
      <c r="F225">
        <v>23990</v>
      </c>
      <c r="G225">
        <f t="shared" si="10"/>
        <v>383840</v>
      </c>
      <c r="H225">
        <f t="shared" si="9"/>
        <v>-383824</v>
      </c>
      <c r="I225">
        <f>_xlfn.XLOOKUP(A225,'[1]Forecast 2026'!$A:$A,'[1]Forecast 2026'!$AJ:$AJ,"NA",0,1)</f>
        <v>16</v>
      </c>
      <c r="J225">
        <f t="shared" si="11"/>
        <v>0</v>
      </c>
    </row>
    <row r="226" spans="1:10" hidden="1" x14ac:dyDescent="0.35">
      <c r="A226" t="s">
        <v>470</v>
      </c>
      <c r="B226" t="s">
        <v>471</v>
      </c>
      <c r="C226" t="s">
        <v>429</v>
      </c>
      <c r="D226" t="s">
        <v>469</v>
      </c>
      <c r="E226">
        <v>27</v>
      </c>
      <c r="F226">
        <v>23990</v>
      </c>
      <c r="G226">
        <f t="shared" si="10"/>
        <v>647730</v>
      </c>
      <c r="H226">
        <f t="shared" si="9"/>
        <v>-647703</v>
      </c>
      <c r="I226">
        <f>_xlfn.XLOOKUP(A226,'[1]Forecast 2026'!$A:$A,'[1]Forecast 2026'!$AJ:$AJ,"NA",0,1)</f>
        <v>27</v>
      </c>
      <c r="J226">
        <f t="shared" si="11"/>
        <v>0</v>
      </c>
    </row>
    <row r="227" spans="1:10" hidden="1" x14ac:dyDescent="0.35">
      <c r="A227" t="s">
        <v>472</v>
      </c>
      <c r="B227" t="s">
        <v>473</v>
      </c>
      <c r="C227" t="s">
        <v>429</v>
      </c>
      <c r="D227" t="s">
        <v>469</v>
      </c>
      <c r="E227">
        <v>0</v>
      </c>
      <c r="F227">
        <v>23990</v>
      </c>
      <c r="G227">
        <f t="shared" si="10"/>
        <v>0</v>
      </c>
      <c r="H227">
        <f t="shared" si="9"/>
        <v>0</v>
      </c>
      <c r="I227">
        <f>_xlfn.XLOOKUP(A227,'[1]Forecast 2026'!$A:$A,'[1]Forecast 2026'!$AJ:$AJ,"NA",0,1)</f>
        <v>0</v>
      </c>
      <c r="J227">
        <f t="shared" si="11"/>
        <v>0</v>
      </c>
    </row>
    <row r="228" spans="1:10" hidden="1" x14ac:dyDescent="0.35">
      <c r="A228" t="s">
        <v>474</v>
      </c>
      <c r="B228" t="s">
        <v>475</v>
      </c>
      <c r="C228" t="s">
        <v>429</v>
      </c>
      <c r="D228" t="s">
        <v>469</v>
      </c>
      <c r="E228">
        <v>4</v>
      </c>
      <c r="F228">
        <v>24990</v>
      </c>
      <c r="G228">
        <f t="shared" si="10"/>
        <v>99960</v>
      </c>
      <c r="H228">
        <f t="shared" si="9"/>
        <v>-99956</v>
      </c>
      <c r="I228">
        <f>_xlfn.XLOOKUP(A228,'[1]Forecast 2026'!$A:$A,'[1]Forecast 2026'!$AJ:$AJ,"NA",0,1)</f>
        <v>4</v>
      </c>
      <c r="J228">
        <f t="shared" si="11"/>
        <v>0</v>
      </c>
    </row>
    <row r="229" spans="1:10" hidden="1" x14ac:dyDescent="0.35">
      <c r="A229" t="s">
        <v>476</v>
      </c>
      <c r="B229" t="s">
        <v>477</v>
      </c>
      <c r="C229" t="s">
        <v>429</v>
      </c>
      <c r="D229" t="s">
        <v>469</v>
      </c>
      <c r="E229">
        <v>4</v>
      </c>
      <c r="F229">
        <v>24990</v>
      </c>
      <c r="G229">
        <f t="shared" si="10"/>
        <v>99960</v>
      </c>
      <c r="H229">
        <f t="shared" si="9"/>
        <v>-99956</v>
      </c>
      <c r="I229">
        <f>_xlfn.XLOOKUP(A229,'[1]Forecast 2026'!$A:$A,'[1]Forecast 2026'!$AJ:$AJ,"NA",0,1)</f>
        <v>4</v>
      </c>
      <c r="J229">
        <f t="shared" si="11"/>
        <v>0</v>
      </c>
    </row>
    <row r="230" spans="1:10" hidden="1" x14ac:dyDescent="0.35">
      <c r="A230" t="s">
        <v>478</v>
      </c>
      <c r="B230" t="s">
        <v>479</v>
      </c>
      <c r="C230" t="s">
        <v>429</v>
      </c>
      <c r="D230" t="s">
        <v>469</v>
      </c>
      <c r="E230">
        <v>0</v>
      </c>
      <c r="F230">
        <v>24990</v>
      </c>
      <c r="G230">
        <f t="shared" si="10"/>
        <v>0</v>
      </c>
      <c r="H230">
        <f t="shared" si="9"/>
        <v>0</v>
      </c>
      <c r="I230">
        <f>_xlfn.XLOOKUP(A230,'[1]Forecast 2026'!$A:$A,'[1]Forecast 2026'!$AJ:$AJ,"NA",0,1)</f>
        <v>0</v>
      </c>
      <c r="J230">
        <f t="shared" si="11"/>
        <v>0</v>
      </c>
    </row>
    <row r="231" spans="1:10" hidden="1" x14ac:dyDescent="0.35">
      <c r="A231" t="s">
        <v>480</v>
      </c>
      <c r="B231" t="s">
        <v>481</v>
      </c>
      <c r="C231" t="s">
        <v>429</v>
      </c>
      <c r="D231" t="s">
        <v>469</v>
      </c>
      <c r="E231">
        <v>21</v>
      </c>
      <c r="F231">
        <v>24990</v>
      </c>
      <c r="G231">
        <f t="shared" si="10"/>
        <v>524790</v>
      </c>
      <c r="H231">
        <f t="shared" si="9"/>
        <v>-524769</v>
      </c>
      <c r="I231">
        <f>_xlfn.XLOOKUP(A231,'[1]Forecast 2026'!$A:$A,'[1]Forecast 2026'!$AJ:$AJ,"NA",0,1)</f>
        <v>21</v>
      </c>
      <c r="J231">
        <f t="shared" si="11"/>
        <v>0</v>
      </c>
    </row>
    <row r="232" spans="1:10" hidden="1" x14ac:dyDescent="0.35">
      <c r="A232" t="s">
        <v>482</v>
      </c>
      <c r="B232" t="s">
        <v>483</v>
      </c>
      <c r="C232" t="s">
        <v>429</v>
      </c>
      <c r="D232" t="s">
        <v>469</v>
      </c>
      <c r="E232">
        <v>4</v>
      </c>
      <c r="F232">
        <v>24990</v>
      </c>
      <c r="G232">
        <f t="shared" si="10"/>
        <v>99960</v>
      </c>
      <c r="H232">
        <f t="shared" si="9"/>
        <v>-99956</v>
      </c>
      <c r="I232">
        <f>_xlfn.XLOOKUP(A232,'[1]Forecast 2026'!$A:$A,'[1]Forecast 2026'!$AJ:$AJ,"NA",0,1)</f>
        <v>4</v>
      </c>
      <c r="J232">
        <f t="shared" si="11"/>
        <v>0</v>
      </c>
    </row>
    <row r="233" spans="1:10" hidden="1" x14ac:dyDescent="0.35">
      <c r="A233" t="s">
        <v>484</v>
      </c>
      <c r="B233" t="s">
        <v>485</v>
      </c>
      <c r="C233" t="s">
        <v>429</v>
      </c>
      <c r="D233" t="s">
        <v>469</v>
      </c>
      <c r="E233">
        <v>0</v>
      </c>
      <c r="F233">
        <v>17990</v>
      </c>
      <c r="G233">
        <f t="shared" si="10"/>
        <v>0</v>
      </c>
      <c r="H233">
        <f t="shared" si="9"/>
        <v>0</v>
      </c>
      <c r="I233">
        <f>_xlfn.XLOOKUP(A233,'[1]Forecast 2026'!$A:$A,'[1]Forecast 2026'!$AJ:$AJ,"NA",0,1)</f>
        <v>0</v>
      </c>
      <c r="J233">
        <f t="shared" si="11"/>
        <v>0</v>
      </c>
    </row>
    <row r="234" spans="1:10" hidden="1" x14ac:dyDescent="0.35">
      <c r="A234" t="s">
        <v>486</v>
      </c>
      <c r="B234" t="s">
        <v>487</v>
      </c>
      <c r="C234" t="s">
        <v>429</v>
      </c>
      <c r="D234" t="s">
        <v>469</v>
      </c>
      <c r="E234">
        <v>0</v>
      </c>
      <c r="F234">
        <v>17990</v>
      </c>
      <c r="G234">
        <f t="shared" si="10"/>
        <v>0</v>
      </c>
      <c r="H234">
        <f t="shared" si="9"/>
        <v>0</v>
      </c>
      <c r="I234">
        <f>_xlfn.XLOOKUP(A234,'[1]Forecast 2026'!$A:$A,'[1]Forecast 2026'!$AJ:$AJ,"NA",0,1)</f>
        <v>0</v>
      </c>
      <c r="J234">
        <f t="shared" si="11"/>
        <v>0</v>
      </c>
    </row>
    <row r="235" spans="1:10" hidden="1" x14ac:dyDescent="0.35">
      <c r="A235" t="s">
        <v>488</v>
      </c>
      <c r="B235" t="s">
        <v>489</v>
      </c>
      <c r="C235" t="s">
        <v>429</v>
      </c>
      <c r="D235" t="s">
        <v>469</v>
      </c>
      <c r="E235">
        <v>0</v>
      </c>
      <c r="F235">
        <v>17990</v>
      </c>
      <c r="G235">
        <f t="shared" si="10"/>
        <v>0</v>
      </c>
      <c r="H235">
        <f t="shared" si="9"/>
        <v>0</v>
      </c>
      <c r="I235">
        <f>_xlfn.XLOOKUP(A235,'[1]Forecast 2026'!$A:$A,'[1]Forecast 2026'!$AJ:$AJ,"NA",0,1)</f>
        <v>0</v>
      </c>
      <c r="J235">
        <f t="shared" si="11"/>
        <v>0</v>
      </c>
    </row>
    <row r="236" spans="1:10" hidden="1" x14ac:dyDescent="0.35">
      <c r="A236" t="s">
        <v>490</v>
      </c>
      <c r="B236" t="s">
        <v>491</v>
      </c>
      <c r="C236" t="s">
        <v>429</v>
      </c>
      <c r="D236" t="s">
        <v>469</v>
      </c>
      <c r="E236">
        <v>10</v>
      </c>
      <c r="F236">
        <v>14990</v>
      </c>
      <c r="G236">
        <f t="shared" si="10"/>
        <v>149900</v>
      </c>
      <c r="H236">
        <f t="shared" si="9"/>
        <v>-149890</v>
      </c>
      <c r="I236">
        <f>_xlfn.XLOOKUP(A236,'[1]Forecast 2026'!$A:$A,'[1]Forecast 2026'!$AJ:$AJ,"NA",0,1)</f>
        <v>10</v>
      </c>
      <c r="J236">
        <f t="shared" si="11"/>
        <v>0</v>
      </c>
    </row>
    <row r="237" spans="1:10" hidden="1" x14ac:dyDescent="0.35">
      <c r="A237" t="s">
        <v>492</v>
      </c>
      <c r="B237" t="s">
        <v>493</v>
      </c>
      <c r="C237" t="s">
        <v>429</v>
      </c>
      <c r="D237" t="s">
        <v>469</v>
      </c>
      <c r="E237">
        <v>22</v>
      </c>
      <c r="F237">
        <v>14990</v>
      </c>
      <c r="G237">
        <f t="shared" si="10"/>
        <v>329780</v>
      </c>
      <c r="H237">
        <f t="shared" si="9"/>
        <v>-329758</v>
      </c>
      <c r="I237">
        <f>_xlfn.XLOOKUP(A237,'[1]Forecast 2026'!$A:$A,'[1]Forecast 2026'!$AJ:$AJ,"NA",0,1)</f>
        <v>22</v>
      </c>
      <c r="J237">
        <f t="shared" si="11"/>
        <v>0</v>
      </c>
    </row>
    <row r="238" spans="1:10" hidden="1" x14ac:dyDescent="0.35">
      <c r="A238" t="s">
        <v>494</v>
      </c>
      <c r="B238" t="s">
        <v>495</v>
      </c>
      <c r="C238" t="s">
        <v>429</v>
      </c>
      <c r="D238" t="s">
        <v>430</v>
      </c>
      <c r="E238">
        <v>0</v>
      </c>
      <c r="F238">
        <v>7990</v>
      </c>
      <c r="G238">
        <f t="shared" si="10"/>
        <v>0</v>
      </c>
      <c r="H238">
        <f t="shared" si="9"/>
        <v>0</v>
      </c>
      <c r="I238">
        <f>_xlfn.XLOOKUP(A238,'[1]Forecast 2026'!$A:$A,'[1]Forecast 2026'!$AJ:$AJ,"NA",0,1)</f>
        <v>0</v>
      </c>
      <c r="J238">
        <f t="shared" si="11"/>
        <v>0</v>
      </c>
    </row>
    <row r="239" spans="1:10" hidden="1" x14ac:dyDescent="0.35">
      <c r="A239" t="s">
        <v>496</v>
      </c>
      <c r="B239" t="s">
        <v>497</v>
      </c>
      <c r="C239" t="s">
        <v>429</v>
      </c>
      <c r="D239" t="s">
        <v>430</v>
      </c>
      <c r="E239">
        <v>0</v>
      </c>
      <c r="F239">
        <v>9990</v>
      </c>
      <c r="G239">
        <f t="shared" si="10"/>
        <v>0</v>
      </c>
      <c r="H239">
        <f t="shared" si="9"/>
        <v>0</v>
      </c>
      <c r="I239">
        <f>_xlfn.XLOOKUP(A239,'[1]Forecast 2026'!$A:$A,'[1]Forecast 2026'!$AJ:$AJ,"NA",0,1)</f>
        <v>0</v>
      </c>
      <c r="J239">
        <f t="shared" si="11"/>
        <v>0</v>
      </c>
    </row>
    <row r="240" spans="1:10" hidden="1" x14ac:dyDescent="0.35">
      <c r="A240" t="s">
        <v>498</v>
      </c>
      <c r="B240" t="s">
        <v>499</v>
      </c>
      <c r="C240" t="s">
        <v>429</v>
      </c>
      <c r="D240" t="s">
        <v>430</v>
      </c>
      <c r="E240">
        <v>0</v>
      </c>
      <c r="F240">
        <v>11990</v>
      </c>
      <c r="G240">
        <f t="shared" si="10"/>
        <v>0</v>
      </c>
      <c r="H240">
        <f t="shared" si="9"/>
        <v>0</v>
      </c>
      <c r="I240">
        <f>_xlfn.XLOOKUP(A240,'[1]Forecast 2026'!$A:$A,'[1]Forecast 2026'!$AJ:$AJ,"NA",0,1)</f>
        <v>0</v>
      </c>
      <c r="J240">
        <f t="shared" si="11"/>
        <v>0</v>
      </c>
    </row>
    <row r="241" spans="1:10" hidden="1" x14ac:dyDescent="0.35">
      <c r="A241" t="s">
        <v>500</v>
      </c>
      <c r="B241" t="s">
        <v>501</v>
      </c>
      <c r="C241" t="s">
        <v>429</v>
      </c>
      <c r="D241" t="s">
        <v>430</v>
      </c>
      <c r="E241">
        <v>0</v>
      </c>
      <c r="F241">
        <v>14990</v>
      </c>
      <c r="G241">
        <f t="shared" si="10"/>
        <v>0</v>
      </c>
      <c r="H241">
        <f t="shared" si="9"/>
        <v>0</v>
      </c>
      <c r="I241">
        <f>_xlfn.XLOOKUP(A241,'[1]Forecast 2026'!$A:$A,'[1]Forecast 2026'!$AJ:$AJ,"NA",0,1)</f>
        <v>0</v>
      </c>
      <c r="J241">
        <f t="shared" si="11"/>
        <v>0</v>
      </c>
    </row>
    <row r="242" spans="1:10" hidden="1" x14ac:dyDescent="0.35">
      <c r="A242" t="s">
        <v>502</v>
      </c>
      <c r="B242" t="s">
        <v>503</v>
      </c>
      <c r="C242" t="s">
        <v>429</v>
      </c>
      <c r="D242" t="s">
        <v>430</v>
      </c>
      <c r="E242">
        <v>0</v>
      </c>
      <c r="F242">
        <v>17990</v>
      </c>
      <c r="G242">
        <f t="shared" si="10"/>
        <v>0</v>
      </c>
      <c r="H242">
        <f t="shared" si="9"/>
        <v>0</v>
      </c>
      <c r="I242">
        <f>_xlfn.XLOOKUP(A242,'[1]Forecast 2026'!$A:$A,'[1]Forecast 2026'!$AJ:$AJ,"NA",0,1)</f>
        <v>0</v>
      </c>
      <c r="J242">
        <f t="shared" si="11"/>
        <v>0</v>
      </c>
    </row>
    <row r="243" spans="1:10" hidden="1" x14ac:dyDescent="0.35">
      <c r="A243" t="s">
        <v>504</v>
      </c>
      <c r="B243" t="s">
        <v>505</v>
      </c>
      <c r="C243" t="s">
        <v>429</v>
      </c>
      <c r="D243" t="s">
        <v>430</v>
      </c>
      <c r="E243">
        <v>0</v>
      </c>
      <c r="F243">
        <v>18990</v>
      </c>
      <c r="G243">
        <f t="shared" si="10"/>
        <v>0</v>
      </c>
      <c r="H243">
        <f t="shared" si="9"/>
        <v>0</v>
      </c>
      <c r="I243">
        <f>_xlfn.XLOOKUP(A243,'[1]Forecast 2026'!$A:$A,'[1]Forecast 2026'!$AJ:$AJ,"NA",0,1)</f>
        <v>0</v>
      </c>
      <c r="J243">
        <f t="shared" si="11"/>
        <v>0</v>
      </c>
    </row>
    <row r="244" spans="1:10" hidden="1" x14ac:dyDescent="0.35">
      <c r="A244" t="s">
        <v>506</v>
      </c>
      <c r="B244" t="s">
        <v>507</v>
      </c>
      <c r="C244" t="s">
        <v>429</v>
      </c>
      <c r="D244" t="s">
        <v>469</v>
      </c>
      <c r="E244">
        <v>49</v>
      </c>
      <c r="F244">
        <v>1990</v>
      </c>
      <c r="G244">
        <f t="shared" si="10"/>
        <v>97510</v>
      </c>
      <c r="H244">
        <f t="shared" si="9"/>
        <v>-97461</v>
      </c>
      <c r="I244">
        <f>_xlfn.XLOOKUP(A244,'[1]Forecast 2026'!$A:$A,'[1]Forecast 2026'!$AJ:$AJ,"NA",0,1)</f>
        <v>49</v>
      </c>
      <c r="J244">
        <f t="shared" si="11"/>
        <v>0</v>
      </c>
    </row>
    <row r="245" spans="1:10" hidden="1" x14ac:dyDescent="0.35">
      <c r="A245" t="s">
        <v>508</v>
      </c>
      <c r="B245" t="s">
        <v>509</v>
      </c>
      <c r="C245" t="s">
        <v>429</v>
      </c>
      <c r="D245" t="s">
        <v>469</v>
      </c>
      <c r="E245">
        <v>56</v>
      </c>
      <c r="F245">
        <v>39990</v>
      </c>
      <c r="G245">
        <f t="shared" si="10"/>
        <v>2239440</v>
      </c>
      <c r="H245">
        <f t="shared" si="9"/>
        <v>-2239384</v>
      </c>
      <c r="I245">
        <f>_xlfn.XLOOKUP(A245,'[1]Forecast 2026'!$A:$A,'[1]Forecast 2026'!$AJ:$AJ,"NA",0,1)</f>
        <v>56</v>
      </c>
      <c r="J245">
        <f t="shared" si="11"/>
        <v>0</v>
      </c>
    </row>
    <row r="246" spans="1:10" hidden="1" x14ac:dyDescent="0.35">
      <c r="A246" t="s">
        <v>510</v>
      </c>
      <c r="B246" t="s">
        <v>511</v>
      </c>
      <c r="C246" t="s">
        <v>429</v>
      </c>
      <c r="D246" t="s">
        <v>469</v>
      </c>
      <c r="E246">
        <v>21</v>
      </c>
      <c r="F246">
        <v>49990</v>
      </c>
      <c r="G246">
        <f t="shared" si="10"/>
        <v>1049790</v>
      </c>
      <c r="H246">
        <f t="shared" si="9"/>
        <v>-1049769</v>
      </c>
      <c r="I246">
        <f>_xlfn.XLOOKUP(A246,'[1]Forecast 2026'!$A:$A,'[1]Forecast 2026'!$AJ:$AJ,"NA",0,1)</f>
        <v>21</v>
      </c>
      <c r="J246">
        <f t="shared" si="11"/>
        <v>0</v>
      </c>
    </row>
    <row r="247" spans="1:10" hidden="1" x14ac:dyDescent="0.35">
      <c r="A247" t="s">
        <v>512</v>
      </c>
      <c r="B247" t="s">
        <v>513</v>
      </c>
      <c r="C247" t="s">
        <v>429</v>
      </c>
      <c r="D247" t="s">
        <v>469</v>
      </c>
      <c r="E247">
        <v>43</v>
      </c>
      <c r="F247">
        <v>39990</v>
      </c>
      <c r="G247">
        <f t="shared" si="10"/>
        <v>1719570</v>
      </c>
      <c r="H247">
        <f t="shared" si="9"/>
        <v>-1719527</v>
      </c>
      <c r="I247">
        <f>_xlfn.XLOOKUP(A247,'[1]Forecast 2026'!$A:$A,'[1]Forecast 2026'!$AJ:$AJ,"NA",0,1)</f>
        <v>43</v>
      </c>
      <c r="J247">
        <f t="shared" si="11"/>
        <v>0</v>
      </c>
    </row>
    <row r="248" spans="1:10" hidden="1" x14ac:dyDescent="0.35">
      <c r="A248" t="s">
        <v>514</v>
      </c>
      <c r="B248" t="s">
        <v>515</v>
      </c>
      <c r="C248" t="s">
        <v>429</v>
      </c>
      <c r="D248" t="s">
        <v>469</v>
      </c>
      <c r="E248">
        <v>0</v>
      </c>
      <c r="F248">
        <v>12990</v>
      </c>
      <c r="G248">
        <f t="shared" si="10"/>
        <v>0</v>
      </c>
      <c r="H248">
        <f t="shared" si="9"/>
        <v>0</v>
      </c>
      <c r="I248">
        <f>_xlfn.XLOOKUP(A248,'[1]Forecast 2026'!$A:$A,'[1]Forecast 2026'!$AJ:$AJ,"NA",0,1)</f>
        <v>0</v>
      </c>
      <c r="J248">
        <f t="shared" si="11"/>
        <v>0</v>
      </c>
    </row>
    <row r="249" spans="1:10" hidden="1" x14ac:dyDescent="0.35">
      <c r="A249" t="s">
        <v>516</v>
      </c>
      <c r="B249" t="s">
        <v>517</v>
      </c>
      <c r="C249" t="s">
        <v>429</v>
      </c>
      <c r="D249" t="s">
        <v>469</v>
      </c>
      <c r="E249">
        <v>0</v>
      </c>
      <c r="F249">
        <v>19980</v>
      </c>
      <c r="G249">
        <f t="shared" si="10"/>
        <v>0</v>
      </c>
      <c r="H249">
        <f t="shared" si="9"/>
        <v>0</v>
      </c>
      <c r="I249">
        <f>_xlfn.XLOOKUP(A249,'[1]Forecast 2026'!$A:$A,'[1]Forecast 2026'!$AJ:$AJ,"NA",0,1)</f>
        <v>0</v>
      </c>
      <c r="J249">
        <f t="shared" si="11"/>
        <v>0</v>
      </c>
    </row>
    <row r="250" spans="1:10" hidden="1" x14ac:dyDescent="0.35">
      <c r="A250" t="s">
        <v>518</v>
      </c>
      <c r="B250" t="s">
        <v>519</v>
      </c>
      <c r="C250" t="s">
        <v>429</v>
      </c>
      <c r="D250" t="s">
        <v>469</v>
      </c>
      <c r="E250">
        <v>0</v>
      </c>
      <c r="F250">
        <v>69990</v>
      </c>
      <c r="G250">
        <f t="shared" si="10"/>
        <v>0</v>
      </c>
      <c r="H250">
        <f t="shared" si="9"/>
        <v>0</v>
      </c>
      <c r="I250">
        <f>_xlfn.XLOOKUP(A250,'[1]Forecast 2026'!$A:$A,'[1]Forecast 2026'!$AJ:$AJ,"NA",0,1)</f>
        <v>0</v>
      </c>
      <c r="J250">
        <f t="shared" si="11"/>
        <v>0</v>
      </c>
    </row>
    <row r="251" spans="1:10" hidden="1" x14ac:dyDescent="0.35">
      <c r="A251" t="s">
        <v>520</v>
      </c>
      <c r="B251" t="s">
        <v>521</v>
      </c>
      <c r="C251" t="s">
        <v>429</v>
      </c>
      <c r="D251" t="s">
        <v>469</v>
      </c>
      <c r="E251">
        <v>0</v>
      </c>
      <c r="F251">
        <v>0</v>
      </c>
      <c r="G251">
        <f t="shared" si="10"/>
        <v>0</v>
      </c>
      <c r="H251">
        <f t="shared" si="9"/>
        <v>0</v>
      </c>
      <c r="I251">
        <f>_xlfn.XLOOKUP(A251,'[1]Forecast 2026'!$A:$A,'[1]Forecast 2026'!$AJ:$AJ,"NA",0,1)</f>
        <v>0</v>
      </c>
      <c r="J251">
        <f t="shared" si="11"/>
        <v>0</v>
      </c>
    </row>
    <row r="252" spans="1:10" hidden="1" x14ac:dyDescent="0.35">
      <c r="A252" t="s">
        <v>522</v>
      </c>
      <c r="B252" t="s">
        <v>523</v>
      </c>
      <c r="C252" t="s">
        <v>429</v>
      </c>
      <c r="D252" t="s">
        <v>469</v>
      </c>
      <c r="E252">
        <v>4</v>
      </c>
      <c r="F252">
        <v>34990</v>
      </c>
      <c r="G252">
        <f t="shared" si="10"/>
        <v>139960</v>
      </c>
      <c r="H252">
        <f t="shared" si="9"/>
        <v>-139956</v>
      </c>
      <c r="I252">
        <f>_xlfn.XLOOKUP(A252,'[1]Forecast 2026'!$A:$A,'[1]Forecast 2026'!$AJ:$AJ,"NA",0,1)</f>
        <v>4</v>
      </c>
      <c r="J252">
        <f t="shared" si="11"/>
        <v>0</v>
      </c>
    </row>
    <row r="253" spans="1:10" hidden="1" x14ac:dyDescent="0.35">
      <c r="A253" t="s">
        <v>524</v>
      </c>
      <c r="B253" t="s">
        <v>525</v>
      </c>
      <c r="C253" t="s">
        <v>429</v>
      </c>
      <c r="D253" t="s">
        <v>469</v>
      </c>
      <c r="E253">
        <v>0</v>
      </c>
      <c r="F253">
        <v>44990</v>
      </c>
      <c r="G253">
        <f t="shared" si="10"/>
        <v>0</v>
      </c>
      <c r="H253">
        <f t="shared" si="9"/>
        <v>0</v>
      </c>
      <c r="I253">
        <f>_xlfn.XLOOKUP(A253,'[1]Forecast 2026'!$A:$A,'[1]Forecast 2026'!$AJ:$AJ,"NA",0,1)</f>
        <v>0</v>
      </c>
      <c r="J253">
        <f t="shared" si="11"/>
        <v>0</v>
      </c>
    </row>
    <row r="254" spans="1:10" hidden="1" x14ac:dyDescent="0.35">
      <c r="A254" t="s">
        <v>526</v>
      </c>
      <c r="B254" t="s">
        <v>527</v>
      </c>
      <c r="C254" t="s">
        <v>429</v>
      </c>
      <c r="D254" t="s">
        <v>469</v>
      </c>
      <c r="E254">
        <v>0</v>
      </c>
      <c r="F254">
        <v>65990</v>
      </c>
      <c r="G254">
        <f t="shared" si="10"/>
        <v>0</v>
      </c>
      <c r="H254">
        <f t="shared" si="9"/>
        <v>0</v>
      </c>
      <c r="I254">
        <f>_xlfn.XLOOKUP(A254,'[1]Forecast 2026'!$A:$A,'[1]Forecast 2026'!$AJ:$AJ,"NA",0,1)</f>
        <v>0</v>
      </c>
      <c r="J254">
        <f t="shared" si="11"/>
        <v>0</v>
      </c>
    </row>
    <row r="255" spans="1:10" hidden="1" x14ac:dyDescent="0.35">
      <c r="A255" t="s">
        <v>528</v>
      </c>
      <c r="B255" t="s">
        <v>529</v>
      </c>
      <c r="C255" t="s">
        <v>429</v>
      </c>
      <c r="D255" t="s">
        <v>469</v>
      </c>
      <c r="E255">
        <v>0</v>
      </c>
      <c r="F255">
        <v>49990</v>
      </c>
      <c r="G255">
        <f t="shared" si="10"/>
        <v>0</v>
      </c>
      <c r="H255">
        <f t="shared" si="9"/>
        <v>0</v>
      </c>
      <c r="I255">
        <f>_xlfn.XLOOKUP(A255,'[1]Forecast 2026'!$A:$A,'[1]Forecast 2026'!$AJ:$AJ,"NA",0,1)</f>
        <v>0</v>
      </c>
      <c r="J255">
        <f t="shared" si="11"/>
        <v>0</v>
      </c>
    </row>
    <row r="256" spans="1:10" hidden="1" x14ac:dyDescent="0.35">
      <c r="A256" t="s">
        <v>530</v>
      </c>
      <c r="B256" t="s">
        <v>531</v>
      </c>
      <c r="C256" t="s">
        <v>429</v>
      </c>
      <c r="D256" t="s">
        <v>469</v>
      </c>
      <c r="E256">
        <v>0</v>
      </c>
      <c r="F256">
        <v>8990</v>
      </c>
      <c r="G256">
        <f t="shared" si="10"/>
        <v>0</v>
      </c>
      <c r="H256">
        <f t="shared" si="9"/>
        <v>0</v>
      </c>
      <c r="I256">
        <f>_xlfn.XLOOKUP(A256,'[1]Forecast 2026'!$A:$A,'[1]Forecast 2026'!$AJ:$AJ,"NA",0,1)</f>
        <v>0</v>
      </c>
      <c r="J256">
        <f t="shared" si="11"/>
        <v>0</v>
      </c>
    </row>
    <row r="257" spans="1:10" hidden="1" x14ac:dyDescent="0.35">
      <c r="A257" t="s">
        <v>532</v>
      </c>
      <c r="B257" t="s">
        <v>533</v>
      </c>
      <c r="C257" t="s">
        <v>429</v>
      </c>
      <c r="D257" t="s">
        <v>469</v>
      </c>
      <c r="E257">
        <v>200</v>
      </c>
      <c r="F257">
        <v>3990</v>
      </c>
      <c r="G257">
        <f t="shared" si="10"/>
        <v>798000</v>
      </c>
      <c r="H257">
        <f t="shared" si="9"/>
        <v>-797800</v>
      </c>
      <c r="I257">
        <f>_xlfn.XLOOKUP(A257,'[1]Forecast 2026'!$A:$A,'[1]Forecast 2026'!$AJ:$AJ,"NA",0,1)</f>
        <v>200</v>
      </c>
      <c r="J257">
        <f t="shared" si="11"/>
        <v>0</v>
      </c>
    </row>
    <row r="258" spans="1:10" hidden="1" x14ac:dyDescent="0.35">
      <c r="A258" t="s">
        <v>534</v>
      </c>
      <c r="B258" t="s">
        <v>535</v>
      </c>
      <c r="C258" t="s">
        <v>429</v>
      </c>
      <c r="D258" t="s">
        <v>469</v>
      </c>
      <c r="E258">
        <v>0</v>
      </c>
      <c r="F258">
        <v>7990</v>
      </c>
      <c r="G258">
        <f t="shared" si="10"/>
        <v>0</v>
      </c>
      <c r="H258">
        <f t="shared" si="9"/>
        <v>0</v>
      </c>
      <c r="I258">
        <f>_xlfn.XLOOKUP(A258,'[1]Forecast 2026'!$A:$A,'[1]Forecast 2026'!$AJ:$AJ,"NA",0,1)</f>
        <v>0</v>
      </c>
      <c r="J258">
        <f t="shared" si="11"/>
        <v>0</v>
      </c>
    </row>
    <row r="259" spans="1:10" hidden="1" x14ac:dyDescent="0.35">
      <c r="A259" t="s">
        <v>536</v>
      </c>
      <c r="B259" t="s">
        <v>537</v>
      </c>
      <c r="C259" t="s">
        <v>429</v>
      </c>
      <c r="D259" t="s">
        <v>469</v>
      </c>
      <c r="E259">
        <v>220</v>
      </c>
      <c r="F259">
        <v>9990</v>
      </c>
      <c r="G259">
        <f t="shared" si="10"/>
        <v>2197800</v>
      </c>
      <c r="H259">
        <f t="shared" ref="H259:H322" si="12">E259-G259</f>
        <v>-2197580</v>
      </c>
      <c r="I259">
        <f>_xlfn.XLOOKUP(A259,'[1]Forecast 2026'!$A:$A,'[1]Forecast 2026'!$AJ:$AJ,"NA",0,1)</f>
        <v>220</v>
      </c>
      <c r="J259">
        <f t="shared" si="11"/>
        <v>0</v>
      </c>
    </row>
    <row r="260" spans="1:10" hidden="1" x14ac:dyDescent="0.35">
      <c r="A260" t="s">
        <v>538</v>
      </c>
      <c r="B260" t="s">
        <v>539</v>
      </c>
      <c r="C260" t="s">
        <v>429</v>
      </c>
      <c r="D260" t="s">
        <v>469</v>
      </c>
      <c r="E260">
        <v>29</v>
      </c>
      <c r="F260">
        <v>2990</v>
      </c>
      <c r="G260">
        <f t="shared" ref="G260:G323" si="13">F260*E260</f>
        <v>86710</v>
      </c>
      <c r="H260">
        <f t="shared" si="12"/>
        <v>-86681</v>
      </c>
      <c r="I260">
        <f>_xlfn.XLOOKUP(A260,'[1]Forecast 2026'!$A:$A,'[1]Forecast 2026'!$AJ:$AJ,"NA",0,1)</f>
        <v>29</v>
      </c>
      <c r="J260">
        <f t="shared" ref="J260:J323" si="14">IFERROR(E260-I260,"")</f>
        <v>0</v>
      </c>
    </row>
    <row r="261" spans="1:10" hidden="1" x14ac:dyDescent="0.35">
      <c r="A261" t="s">
        <v>540</v>
      </c>
      <c r="B261" t="s">
        <v>541</v>
      </c>
      <c r="C261" t="s">
        <v>429</v>
      </c>
      <c r="D261" t="s">
        <v>469</v>
      </c>
      <c r="E261">
        <v>25</v>
      </c>
      <c r="F261">
        <v>2990</v>
      </c>
      <c r="G261">
        <f t="shared" si="13"/>
        <v>74750</v>
      </c>
      <c r="H261">
        <f t="shared" si="12"/>
        <v>-74725</v>
      </c>
      <c r="I261">
        <f>_xlfn.XLOOKUP(A261,'[1]Forecast 2026'!$A:$A,'[1]Forecast 2026'!$AJ:$AJ,"NA",0,1)</f>
        <v>25</v>
      </c>
      <c r="J261">
        <f t="shared" si="14"/>
        <v>0</v>
      </c>
    </row>
    <row r="262" spans="1:10" hidden="1" x14ac:dyDescent="0.35">
      <c r="A262" t="s">
        <v>542</v>
      </c>
      <c r="B262" t="s">
        <v>543</v>
      </c>
      <c r="C262" t="s">
        <v>429</v>
      </c>
      <c r="D262" t="s">
        <v>469</v>
      </c>
      <c r="E262">
        <v>6</v>
      </c>
      <c r="F262">
        <v>1990</v>
      </c>
      <c r="G262">
        <f t="shared" si="13"/>
        <v>11940</v>
      </c>
      <c r="H262">
        <f t="shared" si="12"/>
        <v>-11934</v>
      </c>
      <c r="I262">
        <f>_xlfn.XLOOKUP(A262,'[1]Forecast 2026'!$A:$A,'[1]Forecast 2026'!$AJ:$AJ,"NA",0,1)</f>
        <v>6</v>
      </c>
      <c r="J262">
        <f t="shared" si="14"/>
        <v>0</v>
      </c>
    </row>
    <row r="263" spans="1:10" hidden="1" x14ac:dyDescent="0.35">
      <c r="A263" t="s">
        <v>544</v>
      </c>
      <c r="B263" t="s">
        <v>545</v>
      </c>
      <c r="C263" t="s">
        <v>429</v>
      </c>
      <c r="D263" t="s">
        <v>469</v>
      </c>
      <c r="E263">
        <v>34</v>
      </c>
      <c r="F263">
        <v>3990</v>
      </c>
      <c r="G263">
        <f t="shared" si="13"/>
        <v>135660</v>
      </c>
      <c r="H263">
        <f t="shared" si="12"/>
        <v>-135626</v>
      </c>
      <c r="I263">
        <f>_xlfn.XLOOKUP(A263,'[1]Forecast 2026'!$A:$A,'[1]Forecast 2026'!$AJ:$AJ,"NA",0,1)</f>
        <v>34</v>
      </c>
      <c r="J263">
        <f t="shared" si="14"/>
        <v>0</v>
      </c>
    </row>
    <row r="264" spans="1:10" hidden="1" x14ac:dyDescent="0.35">
      <c r="A264" t="s">
        <v>546</v>
      </c>
      <c r="B264" t="s">
        <v>547</v>
      </c>
      <c r="C264" t="s">
        <v>429</v>
      </c>
      <c r="D264" t="s">
        <v>469</v>
      </c>
      <c r="E264">
        <v>85</v>
      </c>
      <c r="F264">
        <v>5990</v>
      </c>
      <c r="G264">
        <f t="shared" si="13"/>
        <v>509150</v>
      </c>
      <c r="H264">
        <f t="shared" si="12"/>
        <v>-509065</v>
      </c>
      <c r="I264">
        <f>_xlfn.XLOOKUP(A264,'[1]Forecast 2026'!$A:$A,'[1]Forecast 2026'!$AJ:$AJ,"NA",0,1)</f>
        <v>85</v>
      </c>
      <c r="J264">
        <f t="shared" si="14"/>
        <v>0</v>
      </c>
    </row>
    <row r="265" spans="1:10" hidden="1" x14ac:dyDescent="0.35">
      <c r="A265" t="s">
        <v>548</v>
      </c>
      <c r="B265" t="s">
        <v>549</v>
      </c>
      <c r="C265" t="s">
        <v>429</v>
      </c>
      <c r="D265" t="s">
        <v>469</v>
      </c>
      <c r="E265">
        <v>47</v>
      </c>
      <c r="F265">
        <v>9990</v>
      </c>
      <c r="G265">
        <f t="shared" si="13"/>
        <v>469530</v>
      </c>
      <c r="H265">
        <f t="shared" si="12"/>
        <v>-469483</v>
      </c>
      <c r="I265">
        <f>_xlfn.XLOOKUP(A265,'[1]Forecast 2026'!$A:$A,'[1]Forecast 2026'!$AJ:$AJ,"NA",0,1)</f>
        <v>47</v>
      </c>
      <c r="J265">
        <f t="shared" si="14"/>
        <v>0</v>
      </c>
    </row>
    <row r="266" spans="1:10" hidden="1" x14ac:dyDescent="0.35">
      <c r="A266" t="s">
        <v>550</v>
      </c>
      <c r="B266" t="s">
        <v>551</v>
      </c>
      <c r="C266" t="s">
        <v>429</v>
      </c>
      <c r="D266" t="s">
        <v>469</v>
      </c>
      <c r="E266">
        <v>0</v>
      </c>
      <c r="F266">
        <v>34990</v>
      </c>
      <c r="G266">
        <f t="shared" si="13"/>
        <v>0</v>
      </c>
      <c r="H266">
        <f t="shared" si="12"/>
        <v>0</v>
      </c>
      <c r="I266">
        <f>_xlfn.XLOOKUP(A266,'[1]Forecast 2026'!$A:$A,'[1]Forecast 2026'!$AJ:$AJ,"NA",0,1)</f>
        <v>0</v>
      </c>
      <c r="J266">
        <f t="shared" si="14"/>
        <v>0</v>
      </c>
    </row>
    <row r="267" spans="1:10" hidden="1" x14ac:dyDescent="0.35">
      <c r="A267" t="s">
        <v>552</v>
      </c>
      <c r="B267" t="s">
        <v>553</v>
      </c>
      <c r="C267" t="s">
        <v>429</v>
      </c>
      <c r="D267" t="s">
        <v>469</v>
      </c>
      <c r="E267">
        <v>0</v>
      </c>
      <c r="F267">
        <v>0</v>
      </c>
      <c r="G267">
        <f t="shared" si="13"/>
        <v>0</v>
      </c>
      <c r="H267">
        <f t="shared" si="12"/>
        <v>0</v>
      </c>
      <c r="I267">
        <f>_xlfn.XLOOKUP(A267,'[1]Forecast 2026'!$A:$A,'[1]Forecast 2026'!$AJ:$AJ,"NA",0,1)</f>
        <v>0</v>
      </c>
      <c r="J267">
        <f t="shared" si="14"/>
        <v>0</v>
      </c>
    </row>
    <row r="268" spans="1:10" hidden="1" x14ac:dyDescent="0.35">
      <c r="A268" t="s">
        <v>554</v>
      </c>
      <c r="B268" t="s">
        <v>555</v>
      </c>
      <c r="C268" t="s">
        <v>429</v>
      </c>
      <c r="D268" t="s">
        <v>469</v>
      </c>
      <c r="E268">
        <v>0</v>
      </c>
      <c r="F268">
        <v>0</v>
      </c>
      <c r="G268">
        <f t="shared" si="13"/>
        <v>0</v>
      </c>
      <c r="H268">
        <f t="shared" si="12"/>
        <v>0</v>
      </c>
      <c r="I268">
        <f>_xlfn.XLOOKUP(A268,'[1]Forecast 2026'!$A:$A,'[1]Forecast 2026'!$AJ:$AJ,"NA",0,1)</f>
        <v>0</v>
      </c>
      <c r="J268">
        <f t="shared" si="14"/>
        <v>0</v>
      </c>
    </row>
    <row r="269" spans="1:10" hidden="1" x14ac:dyDescent="0.35">
      <c r="A269" t="s">
        <v>556</v>
      </c>
      <c r="B269" t="s">
        <v>557</v>
      </c>
      <c r="C269" t="s">
        <v>429</v>
      </c>
      <c r="D269" t="s">
        <v>469</v>
      </c>
      <c r="E269">
        <v>1</v>
      </c>
      <c r="F269">
        <v>0</v>
      </c>
      <c r="G269">
        <f t="shared" si="13"/>
        <v>0</v>
      </c>
      <c r="H269">
        <f t="shared" si="12"/>
        <v>1</v>
      </c>
      <c r="I269">
        <f>_xlfn.XLOOKUP(A269,'[1]Forecast 2026'!$A:$A,'[1]Forecast 2026'!$AJ:$AJ,"NA",0,1)</f>
        <v>1</v>
      </c>
      <c r="J269">
        <f t="shared" si="14"/>
        <v>0</v>
      </c>
    </row>
    <row r="270" spans="1:10" hidden="1" x14ac:dyDescent="0.35">
      <c r="A270" t="s">
        <v>558</v>
      </c>
      <c r="B270" t="s">
        <v>559</v>
      </c>
      <c r="C270" t="s">
        <v>429</v>
      </c>
      <c r="D270" t="s">
        <v>469</v>
      </c>
      <c r="E270">
        <v>8</v>
      </c>
      <c r="F270">
        <v>14990</v>
      </c>
      <c r="G270">
        <f t="shared" si="13"/>
        <v>119920</v>
      </c>
      <c r="H270">
        <f t="shared" si="12"/>
        <v>-119912</v>
      </c>
      <c r="I270">
        <f>_xlfn.XLOOKUP(A270,'[1]Forecast 2026'!$A:$A,'[1]Forecast 2026'!$AJ:$AJ,"NA",0,1)</f>
        <v>8</v>
      </c>
      <c r="J270">
        <f t="shared" si="14"/>
        <v>0</v>
      </c>
    </row>
    <row r="271" spans="1:10" hidden="1" x14ac:dyDescent="0.35">
      <c r="A271" t="s">
        <v>560</v>
      </c>
      <c r="B271" t="s">
        <v>561</v>
      </c>
      <c r="C271" t="s">
        <v>429</v>
      </c>
      <c r="D271" t="s">
        <v>469</v>
      </c>
      <c r="E271">
        <v>0</v>
      </c>
      <c r="F271">
        <v>19990</v>
      </c>
      <c r="G271">
        <f t="shared" si="13"/>
        <v>0</v>
      </c>
      <c r="H271">
        <f t="shared" si="12"/>
        <v>0</v>
      </c>
      <c r="I271">
        <f>_xlfn.XLOOKUP(A271,'[1]Forecast 2026'!$A:$A,'[1]Forecast 2026'!$AJ:$AJ,"NA",0,1)</f>
        <v>0</v>
      </c>
      <c r="J271">
        <f t="shared" si="14"/>
        <v>0</v>
      </c>
    </row>
    <row r="272" spans="1:10" hidden="1" x14ac:dyDescent="0.35">
      <c r="A272" t="s">
        <v>562</v>
      </c>
      <c r="B272" t="s">
        <v>563</v>
      </c>
      <c r="C272" t="s">
        <v>429</v>
      </c>
      <c r="D272" t="s">
        <v>430</v>
      </c>
      <c r="E272">
        <v>0</v>
      </c>
      <c r="F272">
        <v>0</v>
      </c>
      <c r="G272">
        <f t="shared" si="13"/>
        <v>0</v>
      </c>
      <c r="H272">
        <f t="shared" si="12"/>
        <v>0</v>
      </c>
      <c r="I272">
        <f>_xlfn.XLOOKUP(A272,'[1]Forecast 2026'!$A:$A,'[1]Forecast 2026'!$AJ:$AJ,"NA",0,1)</f>
        <v>0</v>
      </c>
      <c r="J272">
        <f t="shared" si="14"/>
        <v>0</v>
      </c>
    </row>
    <row r="273" spans="1:10" hidden="1" x14ac:dyDescent="0.35">
      <c r="A273" t="s">
        <v>564</v>
      </c>
      <c r="B273" t="s">
        <v>565</v>
      </c>
      <c r="C273" t="s">
        <v>429</v>
      </c>
      <c r="D273" t="s">
        <v>430</v>
      </c>
      <c r="E273">
        <v>13</v>
      </c>
      <c r="F273">
        <v>3990</v>
      </c>
      <c r="G273">
        <f t="shared" si="13"/>
        <v>51870</v>
      </c>
      <c r="H273">
        <f t="shared" si="12"/>
        <v>-51857</v>
      </c>
      <c r="I273">
        <f>_xlfn.XLOOKUP(A273,'[1]Forecast 2026'!$A:$A,'[1]Forecast 2026'!$AJ:$AJ,"NA",0,1)</f>
        <v>13</v>
      </c>
      <c r="J273">
        <f t="shared" si="14"/>
        <v>0</v>
      </c>
    </row>
    <row r="274" spans="1:10" hidden="1" x14ac:dyDescent="0.35">
      <c r="A274" t="s">
        <v>566</v>
      </c>
      <c r="B274" t="s">
        <v>567</v>
      </c>
      <c r="C274" t="s">
        <v>429</v>
      </c>
      <c r="D274" t="s">
        <v>469</v>
      </c>
      <c r="E274">
        <v>0</v>
      </c>
      <c r="F274">
        <v>79990</v>
      </c>
      <c r="G274">
        <f t="shared" si="13"/>
        <v>0</v>
      </c>
      <c r="H274">
        <f t="shared" si="12"/>
        <v>0</v>
      </c>
      <c r="I274">
        <f>_xlfn.XLOOKUP(A274,'[1]Forecast 2026'!$A:$A,'[1]Forecast 2026'!$AJ:$AJ,"NA",0,1)</f>
        <v>0</v>
      </c>
      <c r="J274">
        <f t="shared" si="14"/>
        <v>0</v>
      </c>
    </row>
    <row r="275" spans="1:10" hidden="1" x14ac:dyDescent="0.35">
      <c r="A275" t="s">
        <v>568</v>
      </c>
      <c r="B275" t="s">
        <v>569</v>
      </c>
      <c r="C275" t="s">
        <v>429</v>
      </c>
      <c r="D275" t="s">
        <v>430</v>
      </c>
      <c r="E275">
        <v>1</v>
      </c>
      <c r="F275">
        <v>7990</v>
      </c>
      <c r="G275">
        <f t="shared" si="13"/>
        <v>7990</v>
      </c>
      <c r="H275">
        <f t="shared" si="12"/>
        <v>-7989</v>
      </c>
      <c r="I275">
        <f>_xlfn.XLOOKUP(A275,'[1]Forecast 2026'!$A:$A,'[1]Forecast 2026'!$AJ:$AJ,"NA",0,1)</f>
        <v>1</v>
      </c>
      <c r="J275">
        <f t="shared" si="14"/>
        <v>0</v>
      </c>
    </row>
    <row r="276" spans="1:10" hidden="1" x14ac:dyDescent="0.35">
      <c r="A276" t="s">
        <v>570</v>
      </c>
      <c r="B276" t="s">
        <v>571</v>
      </c>
      <c r="C276" t="s">
        <v>429</v>
      </c>
      <c r="D276" t="s">
        <v>430</v>
      </c>
      <c r="E276">
        <v>1</v>
      </c>
      <c r="F276">
        <v>7990</v>
      </c>
      <c r="G276">
        <f t="shared" si="13"/>
        <v>7990</v>
      </c>
      <c r="H276">
        <f t="shared" si="12"/>
        <v>-7989</v>
      </c>
      <c r="I276">
        <f>_xlfn.XLOOKUP(A276,'[1]Forecast 2026'!$A:$A,'[1]Forecast 2026'!$AJ:$AJ,"NA",0,1)</f>
        <v>1</v>
      </c>
      <c r="J276">
        <f t="shared" si="14"/>
        <v>0</v>
      </c>
    </row>
    <row r="277" spans="1:10" hidden="1" x14ac:dyDescent="0.35">
      <c r="A277" t="s">
        <v>572</v>
      </c>
      <c r="B277" t="s">
        <v>573</v>
      </c>
      <c r="C277" t="s">
        <v>429</v>
      </c>
      <c r="D277" t="s">
        <v>430</v>
      </c>
      <c r="E277">
        <v>5</v>
      </c>
      <c r="F277">
        <v>7990</v>
      </c>
      <c r="G277">
        <f t="shared" si="13"/>
        <v>39950</v>
      </c>
      <c r="H277">
        <f t="shared" si="12"/>
        <v>-39945</v>
      </c>
      <c r="I277">
        <f>_xlfn.XLOOKUP(A277,'[1]Forecast 2026'!$A:$A,'[1]Forecast 2026'!$AJ:$AJ,"NA",0,1)</f>
        <v>5</v>
      </c>
      <c r="J277">
        <f t="shared" si="14"/>
        <v>0</v>
      </c>
    </row>
    <row r="278" spans="1:10" hidden="1" x14ac:dyDescent="0.35">
      <c r="A278" t="s">
        <v>574</v>
      </c>
      <c r="B278" t="s">
        <v>575</v>
      </c>
      <c r="C278" t="s">
        <v>429</v>
      </c>
      <c r="D278" t="s">
        <v>430</v>
      </c>
      <c r="E278">
        <v>1</v>
      </c>
      <c r="F278">
        <v>7990</v>
      </c>
      <c r="G278">
        <f t="shared" si="13"/>
        <v>7990</v>
      </c>
      <c r="H278">
        <f t="shared" si="12"/>
        <v>-7989</v>
      </c>
      <c r="I278">
        <f>_xlfn.XLOOKUP(A278,'[1]Forecast 2026'!$A:$A,'[1]Forecast 2026'!$AJ:$AJ,"NA",0,1)</f>
        <v>1</v>
      </c>
      <c r="J278">
        <f t="shared" si="14"/>
        <v>0</v>
      </c>
    </row>
    <row r="279" spans="1:10" hidden="1" x14ac:dyDescent="0.35">
      <c r="A279" t="s">
        <v>576</v>
      </c>
      <c r="B279" t="s">
        <v>577</v>
      </c>
      <c r="C279" t="s">
        <v>429</v>
      </c>
      <c r="D279" t="s">
        <v>430</v>
      </c>
      <c r="E279">
        <v>0</v>
      </c>
      <c r="F279">
        <v>7990</v>
      </c>
      <c r="G279">
        <f t="shared" si="13"/>
        <v>0</v>
      </c>
      <c r="H279">
        <f t="shared" si="12"/>
        <v>0</v>
      </c>
      <c r="I279">
        <f>_xlfn.XLOOKUP(A279,'[1]Forecast 2026'!$A:$A,'[1]Forecast 2026'!$AJ:$AJ,"NA",0,1)</f>
        <v>0</v>
      </c>
      <c r="J279">
        <f t="shared" si="14"/>
        <v>0</v>
      </c>
    </row>
    <row r="280" spans="1:10" hidden="1" x14ac:dyDescent="0.35">
      <c r="A280" t="s">
        <v>578</v>
      </c>
      <c r="B280" t="s">
        <v>579</v>
      </c>
      <c r="C280" t="s">
        <v>429</v>
      </c>
      <c r="D280" t="s">
        <v>430</v>
      </c>
      <c r="E280">
        <v>0</v>
      </c>
      <c r="F280">
        <v>7990</v>
      </c>
      <c r="G280">
        <f t="shared" si="13"/>
        <v>0</v>
      </c>
      <c r="H280">
        <f t="shared" si="12"/>
        <v>0</v>
      </c>
      <c r="I280">
        <f>_xlfn.XLOOKUP(A280,'[1]Forecast 2026'!$A:$A,'[1]Forecast 2026'!$AJ:$AJ,"NA",0,1)</f>
        <v>0</v>
      </c>
      <c r="J280">
        <f t="shared" si="14"/>
        <v>0</v>
      </c>
    </row>
    <row r="281" spans="1:10" hidden="1" x14ac:dyDescent="0.35">
      <c r="A281" t="s">
        <v>580</v>
      </c>
      <c r="B281" t="s">
        <v>581</v>
      </c>
      <c r="C281" t="s">
        <v>429</v>
      </c>
      <c r="D281" t="s">
        <v>430</v>
      </c>
      <c r="E281">
        <v>0</v>
      </c>
      <c r="F281">
        <v>7990</v>
      </c>
      <c r="G281">
        <f t="shared" si="13"/>
        <v>0</v>
      </c>
      <c r="H281">
        <f t="shared" si="12"/>
        <v>0</v>
      </c>
      <c r="I281">
        <f>_xlfn.XLOOKUP(A281,'[1]Forecast 2026'!$A:$A,'[1]Forecast 2026'!$AJ:$AJ,"NA",0,1)</f>
        <v>0</v>
      </c>
      <c r="J281">
        <f t="shared" si="14"/>
        <v>0</v>
      </c>
    </row>
    <row r="282" spans="1:10" hidden="1" x14ac:dyDescent="0.35">
      <c r="A282" t="s">
        <v>582</v>
      </c>
      <c r="B282" t="s">
        <v>583</v>
      </c>
      <c r="C282" t="s">
        <v>429</v>
      </c>
      <c r="D282" t="s">
        <v>430</v>
      </c>
      <c r="E282">
        <v>33</v>
      </c>
      <c r="F282">
        <v>7990</v>
      </c>
      <c r="G282">
        <f t="shared" si="13"/>
        <v>263670</v>
      </c>
      <c r="H282">
        <f t="shared" si="12"/>
        <v>-263637</v>
      </c>
      <c r="I282">
        <f>_xlfn.XLOOKUP(A282,'[1]Forecast 2026'!$A:$A,'[1]Forecast 2026'!$AJ:$AJ,"NA",0,1)</f>
        <v>33</v>
      </c>
      <c r="J282">
        <f t="shared" si="14"/>
        <v>0</v>
      </c>
    </row>
    <row r="283" spans="1:10" hidden="1" x14ac:dyDescent="0.35">
      <c r="A283" t="s">
        <v>584</v>
      </c>
      <c r="B283" t="s">
        <v>585</v>
      </c>
      <c r="C283" t="s">
        <v>429</v>
      </c>
      <c r="D283" t="s">
        <v>469</v>
      </c>
      <c r="E283">
        <v>0</v>
      </c>
      <c r="F283">
        <v>449990</v>
      </c>
      <c r="G283">
        <f t="shared" si="13"/>
        <v>0</v>
      </c>
      <c r="H283">
        <f t="shared" si="12"/>
        <v>0</v>
      </c>
      <c r="I283">
        <f>_xlfn.XLOOKUP(A283,'[1]Forecast 2026'!$A:$A,'[1]Forecast 2026'!$AJ:$AJ,"NA",0,1)</f>
        <v>0</v>
      </c>
      <c r="J283">
        <f t="shared" si="14"/>
        <v>0</v>
      </c>
    </row>
    <row r="284" spans="1:10" hidden="1" x14ac:dyDescent="0.35">
      <c r="A284" t="s">
        <v>586</v>
      </c>
      <c r="B284" t="s">
        <v>587</v>
      </c>
      <c r="C284" t="s">
        <v>429</v>
      </c>
      <c r="D284" t="s">
        <v>469</v>
      </c>
      <c r="E284">
        <v>0</v>
      </c>
      <c r="F284">
        <v>139990</v>
      </c>
      <c r="G284">
        <f t="shared" si="13"/>
        <v>0</v>
      </c>
      <c r="H284">
        <f t="shared" si="12"/>
        <v>0</v>
      </c>
      <c r="I284">
        <f>_xlfn.XLOOKUP(A284,'[1]Forecast 2026'!$A:$A,'[1]Forecast 2026'!$AJ:$AJ,"NA",0,1)</f>
        <v>0</v>
      </c>
      <c r="J284">
        <f t="shared" si="14"/>
        <v>0</v>
      </c>
    </row>
    <row r="285" spans="1:10" hidden="1" x14ac:dyDescent="0.35">
      <c r="A285" t="s">
        <v>588</v>
      </c>
      <c r="B285" t="s">
        <v>589</v>
      </c>
      <c r="C285" t="s">
        <v>429</v>
      </c>
      <c r="D285" t="s">
        <v>430</v>
      </c>
      <c r="E285">
        <v>44</v>
      </c>
      <c r="F285">
        <v>7990</v>
      </c>
      <c r="G285">
        <f t="shared" si="13"/>
        <v>351560</v>
      </c>
      <c r="H285">
        <f t="shared" si="12"/>
        <v>-351516</v>
      </c>
      <c r="I285">
        <f>_xlfn.XLOOKUP(A285,'[1]Forecast 2026'!$A:$A,'[1]Forecast 2026'!$AJ:$AJ,"NA",0,1)</f>
        <v>44</v>
      </c>
      <c r="J285">
        <f t="shared" si="14"/>
        <v>0</v>
      </c>
    </row>
    <row r="286" spans="1:10" hidden="1" x14ac:dyDescent="0.35">
      <c r="A286" t="s">
        <v>590</v>
      </c>
      <c r="B286" t="s">
        <v>591</v>
      </c>
      <c r="C286" t="s">
        <v>429</v>
      </c>
      <c r="D286" t="s">
        <v>430</v>
      </c>
      <c r="E286">
        <v>11</v>
      </c>
      <c r="F286">
        <v>119990</v>
      </c>
      <c r="G286">
        <f t="shared" si="13"/>
        <v>1319890</v>
      </c>
      <c r="H286">
        <f t="shared" si="12"/>
        <v>-1319879</v>
      </c>
      <c r="I286">
        <f>_xlfn.XLOOKUP(A286,'[1]Forecast 2026'!$A:$A,'[1]Forecast 2026'!$AJ:$AJ,"NA",0,1)</f>
        <v>11</v>
      </c>
      <c r="J286">
        <f t="shared" si="14"/>
        <v>0</v>
      </c>
    </row>
    <row r="287" spans="1:10" hidden="1" x14ac:dyDescent="0.35">
      <c r="A287" t="s">
        <v>592</v>
      </c>
      <c r="B287" t="s">
        <v>593</v>
      </c>
      <c r="C287" t="s">
        <v>429</v>
      </c>
      <c r="D287" t="s">
        <v>469</v>
      </c>
      <c r="E287">
        <v>0</v>
      </c>
      <c r="F287">
        <v>19990</v>
      </c>
      <c r="G287">
        <f t="shared" si="13"/>
        <v>0</v>
      </c>
      <c r="H287">
        <f t="shared" si="12"/>
        <v>0</v>
      </c>
      <c r="I287">
        <f>_xlfn.XLOOKUP(A287,'[1]Forecast 2026'!$A:$A,'[1]Forecast 2026'!$AJ:$AJ,"NA",0,1)</f>
        <v>0</v>
      </c>
      <c r="J287">
        <f t="shared" si="14"/>
        <v>0</v>
      </c>
    </row>
    <row r="288" spans="1:10" hidden="1" x14ac:dyDescent="0.35">
      <c r="A288" t="s">
        <v>594</v>
      </c>
      <c r="B288" t="s">
        <v>595</v>
      </c>
      <c r="C288" t="s">
        <v>596</v>
      </c>
      <c r="D288" t="s">
        <v>597</v>
      </c>
      <c r="E288">
        <v>0</v>
      </c>
      <c r="F288">
        <v>99990</v>
      </c>
      <c r="G288">
        <f t="shared" si="13"/>
        <v>0</v>
      </c>
      <c r="H288">
        <f t="shared" si="12"/>
        <v>0</v>
      </c>
      <c r="I288">
        <f>_xlfn.XLOOKUP(A288,'[1]Forecast 2026'!$A:$A,'[1]Forecast 2026'!$AJ:$AJ,"NA",0,1)</f>
        <v>0</v>
      </c>
      <c r="J288">
        <f t="shared" si="14"/>
        <v>0</v>
      </c>
    </row>
    <row r="289" spans="1:10" hidden="1" x14ac:dyDescent="0.35">
      <c r="A289" t="s">
        <v>598</v>
      </c>
      <c r="B289" t="s">
        <v>599</v>
      </c>
      <c r="C289" t="s">
        <v>596</v>
      </c>
      <c r="D289" t="s">
        <v>597</v>
      </c>
      <c r="E289">
        <v>6</v>
      </c>
      <c r="F289">
        <v>15990</v>
      </c>
      <c r="G289">
        <f t="shared" si="13"/>
        <v>95940</v>
      </c>
      <c r="H289">
        <f t="shared" si="12"/>
        <v>-95934</v>
      </c>
      <c r="I289">
        <f>_xlfn.XLOOKUP(A289,'[1]Forecast 2026'!$A:$A,'[1]Forecast 2026'!$AJ:$AJ,"NA",0,1)</f>
        <v>6</v>
      </c>
      <c r="J289">
        <f t="shared" si="14"/>
        <v>0</v>
      </c>
    </row>
    <row r="290" spans="1:10" hidden="1" x14ac:dyDescent="0.35">
      <c r="A290" t="s">
        <v>600</v>
      </c>
      <c r="B290" t="s">
        <v>601</v>
      </c>
      <c r="C290" t="s">
        <v>596</v>
      </c>
      <c r="D290" t="s">
        <v>597</v>
      </c>
      <c r="E290">
        <v>0</v>
      </c>
      <c r="F290">
        <v>99990</v>
      </c>
      <c r="G290">
        <f t="shared" si="13"/>
        <v>0</v>
      </c>
      <c r="H290">
        <f t="shared" si="12"/>
        <v>0</v>
      </c>
      <c r="I290">
        <f>_xlfn.XLOOKUP(A290,'[1]Forecast 2026'!$A:$A,'[1]Forecast 2026'!$AJ:$AJ,"NA",0,1)</f>
        <v>0</v>
      </c>
      <c r="J290">
        <f t="shared" si="14"/>
        <v>0</v>
      </c>
    </row>
    <row r="291" spans="1:10" hidden="1" x14ac:dyDescent="0.35">
      <c r="A291" t="s">
        <v>602</v>
      </c>
      <c r="B291" t="s">
        <v>603</v>
      </c>
      <c r="C291" t="s">
        <v>596</v>
      </c>
      <c r="D291" t="s">
        <v>597</v>
      </c>
      <c r="E291">
        <v>80</v>
      </c>
      <c r="F291">
        <v>15990</v>
      </c>
      <c r="G291">
        <f t="shared" si="13"/>
        <v>1279200</v>
      </c>
      <c r="H291">
        <f t="shared" si="12"/>
        <v>-1279120</v>
      </c>
      <c r="I291">
        <f>_xlfn.XLOOKUP(A291,'[1]Forecast 2026'!$A:$A,'[1]Forecast 2026'!$AJ:$AJ,"NA",0,1)</f>
        <v>80</v>
      </c>
      <c r="J291">
        <f t="shared" si="14"/>
        <v>0</v>
      </c>
    </row>
    <row r="292" spans="1:10" hidden="1" x14ac:dyDescent="0.35">
      <c r="A292" t="s">
        <v>604</v>
      </c>
      <c r="B292" t="s">
        <v>605</v>
      </c>
      <c r="C292" t="s">
        <v>596</v>
      </c>
      <c r="D292" t="s">
        <v>597</v>
      </c>
      <c r="E292">
        <v>0</v>
      </c>
      <c r="F292">
        <v>15990</v>
      </c>
      <c r="G292">
        <f t="shared" si="13"/>
        <v>0</v>
      </c>
      <c r="H292">
        <f t="shared" si="12"/>
        <v>0</v>
      </c>
      <c r="I292">
        <f>_xlfn.XLOOKUP(A292,'[1]Forecast 2026'!$A:$A,'[1]Forecast 2026'!$AJ:$AJ,"NA",0,1)</f>
        <v>0</v>
      </c>
      <c r="J292">
        <f t="shared" si="14"/>
        <v>0</v>
      </c>
    </row>
    <row r="293" spans="1:10" hidden="1" x14ac:dyDescent="0.35">
      <c r="A293" t="s">
        <v>606</v>
      </c>
      <c r="B293" t="s">
        <v>607</v>
      </c>
      <c r="C293" t="s">
        <v>596</v>
      </c>
      <c r="D293" t="s">
        <v>597</v>
      </c>
      <c r="E293">
        <v>0</v>
      </c>
      <c r="F293">
        <v>15990</v>
      </c>
      <c r="G293">
        <f t="shared" si="13"/>
        <v>0</v>
      </c>
      <c r="H293">
        <f t="shared" si="12"/>
        <v>0</v>
      </c>
      <c r="I293">
        <f>_xlfn.XLOOKUP(A293,'[1]Forecast 2026'!$A:$A,'[1]Forecast 2026'!$AJ:$AJ,"NA",0,1)</f>
        <v>0</v>
      </c>
      <c r="J293">
        <f t="shared" si="14"/>
        <v>0</v>
      </c>
    </row>
    <row r="294" spans="1:10" hidden="1" x14ac:dyDescent="0.35">
      <c r="A294" t="s">
        <v>608</v>
      </c>
      <c r="B294" t="s">
        <v>609</v>
      </c>
      <c r="C294" t="s">
        <v>596</v>
      </c>
      <c r="D294" t="s">
        <v>597</v>
      </c>
      <c r="E294">
        <v>0</v>
      </c>
      <c r="F294">
        <v>17990</v>
      </c>
      <c r="G294">
        <f t="shared" si="13"/>
        <v>0</v>
      </c>
      <c r="H294">
        <f t="shared" si="12"/>
        <v>0</v>
      </c>
      <c r="I294">
        <f>_xlfn.XLOOKUP(A294,'[1]Forecast 2026'!$A:$A,'[1]Forecast 2026'!$AJ:$AJ,"NA",0,1)</f>
        <v>0</v>
      </c>
      <c r="J294">
        <f t="shared" si="14"/>
        <v>0</v>
      </c>
    </row>
    <row r="295" spans="1:10" hidden="1" x14ac:dyDescent="0.35">
      <c r="A295" t="s">
        <v>610</v>
      </c>
      <c r="B295" t="s">
        <v>611</v>
      </c>
      <c r="C295" t="s">
        <v>596</v>
      </c>
      <c r="D295" t="s">
        <v>597</v>
      </c>
      <c r="E295">
        <v>0</v>
      </c>
      <c r="F295">
        <v>17990</v>
      </c>
      <c r="G295">
        <f t="shared" si="13"/>
        <v>0</v>
      </c>
      <c r="H295">
        <f t="shared" si="12"/>
        <v>0</v>
      </c>
      <c r="I295">
        <f>_xlfn.XLOOKUP(A295,'[1]Forecast 2026'!$A:$A,'[1]Forecast 2026'!$AJ:$AJ,"NA",0,1)</f>
        <v>0</v>
      </c>
      <c r="J295">
        <f t="shared" si="14"/>
        <v>0</v>
      </c>
    </row>
    <row r="296" spans="1:10" hidden="1" x14ac:dyDescent="0.35">
      <c r="A296" t="s">
        <v>612</v>
      </c>
      <c r="B296" t="s">
        <v>613</v>
      </c>
      <c r="C296" t="s">
        <v>596</v>
      </c>
      <c r="D296" t="s">
        <v>614</v>
      </c>
      <c r="E296">
        <v>0</v>
      </c>
      <c r="F296">
        <v>19980</v>
      </c>
      <c r="G296">
        <f t="shared" si="13"/>
        <v>0</v>
      </c>
      <c r="H296">
        <f t="shared" si="12"/>
        <v>0</v>
      </c>
      <c r="I296">
        <f>_xlfn.XLOOKUP(A296,'[1]Forecast 2026'!$A:$A,'[1]Forecast 2026'!$AJ:$AJ,"NA",0,1)</f>
        <v>0</v>
      </c>
      <c r="J296">
        <f t="shared" si="14"/>
        <v>0</v>
      </c>
    </row>
    <row r="297" spans="1:10" hidden="1" x14ac:dyDescent="0.35">
      <c r="A297" t="s">
        <v>615</v>
      </c>
      <c r="B297" t="s">
        <v>616</v>
      </c>
      <c r="C297" t="s">
        <v>596</v>
      </c>
      <c r="D297" t="s">
        <v>614</v>
      </c>
      <c r="E297">
        <v>0</v>
      </c>
      <c r="F297">
        <v>19980</v>
      </c>
      <c r="G297">
        <f t="shared" si="13"/>
        <v>0</v>
      </c>
      <c r="H297">
        <f t="shared" si="12"/>
        <v>0</v>
      </c>
      <c r="I297">
        <f>_xlfn.XLOOKUP(A297,'[1]Forecast 2026'!$A:$A,'[1]Forecast 2026'!$AJ:$AJ,"NA",0,1)</f>
        <v>0</v>
      </c>
      <c r="J297">
        <f t="shared" si="14"/>
        <v>0</v>
      </c>
    </row>
    <row r="298" spans="1:10" hidden="1" x14ac:dyDescent="0.35">
      <c r="A298" t="s">
        <v>617</v>
      </c>
      <c r="B298" t="s">
        <v>618</v>
      </c>
      <c r="C298" t="s">
        <v>596</v>
      </c>
      <c r="D298" t="s">
        <v>614</v>
      </c>
      <c r="E298">
        <v>0</v>
      </c>
      <c r="F298">
        <v>19980</v>
      </c>
      <c r="G298">
        <f t="shared" si="13"/>
        <v>0</v>
      </c>
      <c r="H298">
        <f t="shared" si="12"/>
        <v>0</v>
      </c>
      <c r="I298">
        <f>_xlfn.XLOOKUP(A298,'[1]Forecast 2026'!$A:$A,'[1]Forecast 2026'!$AJ:$AJ,"NA",0,1)</f>
        <v>0</v>
      </c>
      <c r="J298">
        <f t="shared" si="14"/>
        <v>0</v>
      </c>
    </row>
    <row r="299" spans="1:10" hidden="1" x14ac:dyDescent="0.35">
      <c r="A299" t="s">
        <v>619</v>
      </c>
      <c r="B299" t="s">
        <v>620</v>
      </c>
      <c r="C299" t="s">
        <v>596</v>
      </c>
      <c r="D299" t="s">
        <v>614</v>
      </c>
      <c r="E299">
        <v>0</v>
      </c>
      <c r="F299">
        <v>19980</v>
      </c>
      <c r="G299">
        <f t="shared" si="13"/>
        <v>0</v>
      </c>
      <c r="H299">
        <f t="shared" si="12"/>
        <v>0</v>
      </c>
      <c r="I299">
        <f>_xlfn.XLOOKUP(A299,'[1]Forecast 2026'!$A:$A,'[1]Forecast 2026'!$AJ:$AJ,"NA",0,1)</f>
        <v>0</v>
      </c>
      <c r="J299">
        <f t="shared" si="14"/>
        <v>0</v>
      </c>
    </row>
    <row r="300" spans="1:10" hidden="1" x14ac:dyDescent="0.35">
      <c r="A300" t="s">
        <v>621</v>
      </c>
      <c r="B300" t="s">
        <v>622</v>
      </c>
      <c r="C300" t="s">
        <v>596</v>
      </c>
      <c r="D300" t="s">
        <v>614</v>
      </c>
      <c r="E300">
        <v>0</v>
      </c>
      <c r="F300">
        <v>19980</v>
      </c>
      <c r="G300">
        <f t="shared" si="13"/>
        <v>0</v>
      </c>
      <c r="H300">
        <f t="shared" si="12"/>
        <v>0</v>
      </c>
      <c r="I300">
        <f>_xlfn.XLOOKUP(A300,'[1]Forecast 2026'!$A:$A,'[1]Forecast 2026'!$AJ:$AJ,"NA",0,1)</f>
        <v>0</v>
      </c>
      <c r="J300">
        <f t="shared" si="14"/>
        <v>0</v>
      </c>
    </row>
    <row r="301" spans="1:10" hidden="1" x14ac:dyDescent="0.35">
      <c r="A301" t="s">
        <v>623</v>
      </c>
      <c r="B301" t="s">
        <v>624</v>
      </c>
      <c r="C301" t="s">
        <v>596</v>
      </c>
      <c r="D301" t="s">
        <v>597</v>
      </c>
      <c r="E301">
        <v>0</v>
      </c>
      <c r="F301">
        <v>14990</v>
      </c>
      <c r="G301">
        <f t="shared" si="13"/>
        <v>0</v>
      </c>
      <c r="H301">
        <f t="shared" si="12"/>
        <v>0</v>
      </c>
      <c r="I301">
        <f>_xlfn.XLOOKUP(A301,'[1]Forecast 2026'!$A:$A,'[1]Forecast 2026'!$AJ:$AJ,"NA",0,1)</f>
        <v>0</v>
      </c>
      <c r="J301">
        <f t="shared" si="14"/>
        <v>0</v>
      </c>
    </row>
    <row r="302" spans="1:10" hidden="1" x14ac:dyDescent="0.35">
      <c r="A302" t="s">
        <v>625</v>
      </c>
      <c r="B302" t="s">
        <v>626</v>
      </c>
      <c r="C302" t="s">
        <v>596</v>
      </c>
      <c r="D302" t="s">
        <v>597</v>
      </c>
      <c r="E302">
        <v>0</v>
      </c>
      <c r="F302">
        <v>14990</v>
      </c>
      <c r="G302">
        <f t="shared" si="13"/>
        <v>0</v>
      </c>
      <c r="H302">
        <f t="shared" si="12"/>
        <v>0</v>
      </c>
      <c r="I302">
        <f>_xlfn.XLOOKUP(A302,'[1]Forecast 2026'!$A:$A,'[1]Forecast 2026'!$AJ:$AJ,"NA",0,1)</f>
        <v>0</v>
      </c>
      <c r="J302">
        <f t="shared" si="14"/>
        <v>0</v>
      </c>
    </row>
    <row r="303" spans="1:10" hidden="1" x14ac:dyDescent="0.35">
      <c r="A303" t="s">
        <v>627</v>
      </c>
      <c r="B303" t="s">
        <v>628</v>
      </c>
      <c r="C303" t="s">
        <v>596</v>
      </c>
      <c r="D303" t="s">
        <v>597</v>
      </c>
      <c r="E303">
        <v>0</v>
      </c>
      <c r="F303">
        <v>14990</v>
      </c>
      <c r="G303">
        <f t="shared" si="13"/>
        <v>0</v>
      </c>
      <c r="H303">
        <f t="shared" si="12"/>
        <v>0</v>
      </c>
      <c r="I303">
        <f>_xlfn.XLOOKUP(A303,'[1]Forecast 2026'!$A:$A,'[1]Forecast 2026'!$AJ:$AJ,"NA",0,1)</f>
        <v>0</v>
      </c>
      <c r="J303">
        <f t="shared" si="14"/>
        <v>0</v>
      </c>
    </row>
    <row r="304" spans="1:10" hidden="1" x14ac:dyDescent="0.35">
      <c r="A304" t="s">
        <v>629</v>
      </c>
      <c r="B304" t="s">
        <v>630</v>
      </c>
      <c r="C304" t="s">
        <v>596</v>
      </c>
      <c r="D304" t="s">
        <v>597</v>
      </c>
      <c r="E304">
        <v>0</v>
      </c>
      <c r="F304">
        <v>14990</v>
      </c>
      <c r="G304">
        <f t="shared" si="13"/>
        <v>0</v>
      </c>
      <c r="H304">
        <f t="shared" si="12"/>
        <v>0</v>
      </c>
      <c r="I304">
        <f>_xlfn.XLOOKUP(A304,'[1]Forecast 2026'!$A:$A,'[1]Forecast 2026'!$AJ:$AJ,"NA",0,1)</f>
        <v>0</v>
      </c>
      <c r="J304">
        <f t="shared" si="14"/>
        <v>0</v>
      </c>
    </row>
    <row r="305" spans="1:10" hidden="1" x14ac:dyDescent="0.35">
      <c r="A305" t="s">
        <v>631</v>
      </c>
      <c r="B305" t="s">
        <v>632</v>
      </c>
      <c r="C305" t="s">
        <v>596</v>
      </c>
      <c r="D305" t="s">
        <v>597</v>
      </c>
      <c r="E305">
        <v>0</v>
      </c>
      <c r="F305">
        <v>24990</v>
      </c>
      <c r="G305">
        <f t="shared" si="13"/>
        <v>0</v>
      </c>
      <c r="H305">
        <f t="shared" si="12"/>
        <v>0</v>
      </c>
      <c r="I305">
        <f>_xlfn.XLOOKUP(A305,'[1]Forecast 2026'!$A:$A,'[1]Forecast 2026'!$AJ:$AJ,"NA",0,1)</f>
        <v>0</v>
      </c>
      <c r="J305">
        <f t="shared" si="14"/>
        <v>0</v>
      </c>
    </row>
    <row r="306" spans="1:10" hidden="1" x14ac:dyDescent="0.35">
      <c r="A306" t="s">
        <v>633</v>
      </c>
      <c r="B306" t="s">
        <v>634</v>
      </c>
      <c r="C306" t="s">
        <v>596</v>
      </c>
      <c r="D306" t="s">
        <v>597</v>
      </c>
      <c r="E306">
        <v>0</v>
      </c>
      <c r="F306">
        <v>24990</v>
      </c>
      <c r="G306">
        <f t="shared" si="13"/>
        <v>0</v>
      </c>
      <c r="H306">
        <f t="shared" si="12"/>
        <v>0</v>
      </c>
      <c r="I306">
        <f>_xlfn.XLOOKUP(A306,'[1]Forecast 2026'!$A:$A,'[1]Forecast 2026'!$AJ:$AJ,"NA",0,1)</f>
        <v>0</v>
      </c>
      <c r="J306">
        <f t="shared" si="14"/>
        <v>0</v>
      </c>
    </row>
    <row r="307" spans="1:10" hidden="1" x14ac:dyDescent="0.35">
      <c r="A307" t="s">
        <v>635</v>
      </c>
      <c r="B307" t="s">
        <v>636</v>
      </c>
      <c r="C307" t="s">
        <v>596</v>
      </c>
      <c r="D307" t="s">
        <v>597</v>
      </c>
      <c r="E307">
        <v>0</v>
      </c>
      <c r="F307">
        <v>24990</v>
      </c>
      <c r="G307">
        <f t="shared" si="13"/>
        <v>0</v>
      </c>
      <c r="H307">
        <f t="shared" si="12"/>
        <v>0</v>
      </c>
      <c r="I307">
        <f>_xlfn.XLOOKUP(A307,'[1]Forecast 2026'!$A:$A,'[1]Forecast 2026'!$AJ:$AJ,"NA",0,1)</f>
        <v>0</v>
      </c>
      <c r="J307">
        <f t="shared" si="14"/>
        <v>0</v>
      </c>
    </row>
    <row r="308" spans="1:10" hidden="1" x14ac:dyDescent="0.35">
      <c r="A308" t="s">
        <v>637</v>
      </c>
      <c r="B308" t="s">
        <v>638</v>
      </c>
      <c r="C308" t="s">
        <v>596</v>
      </c>
      <c r="D308" t="s">
        <v>597</v>
      </c>
      <c r="E308">
        <v>0</v>
      </c>
      <c r="F308">
        <v>39990</v>
      </c>
      <c r="G308">
        <f t="shared" si="13"/>
        <v>0</v>
      </c>
      <c r="H308">
        <f t="shared" si="12"/>
        <v>0</v>
      </c>
      <c r="I308">
        <f>_xlfn.XLOOKUP(A308,'[1]Forecast 2026'!$A:$A,'[1]Forecast 2026'!$AJ:$AJ,"NA",0,1)</f>
        <v>0</v>
      </c>
      <c r="J308">
        <f t="shared" si="14"/>
        <v>0</v>
      </c>
    </row>
    <row r="309" spans="1:10" hidden="1" x14ac:dyDescent="0.35">
      <c r="A309" t="s">
        <v>639</v>
      </c>
      <c r="B309" t="s">
        <v>640</v>
      </c>
      <c r="C309" t="s">
        <v>596</v>
      </c>
      <c r="D309" t="s">
        <v>597</v>
      </c>
      <c r="E309">
        <v>0</v>
      </c>
      <c r="F309">
        <v>12990</v>
      </c>
      <c r="G309">
        <f t="shared" si="13"/>
        <v>0</v>
      </c>
      <c r="H309">
        <f t="shared" si="12"/>
        <v>0</v>
      </c>
      <c r="I309">
        <f>_xlfn.XLOOKUP(A309,'[1]Forecast 2026'!$A:$A,'[1]Forecast 2026'!$AJ:$AJ,"NA",0,1)</f>
        <v>0</v>
      </c>
      <c r="J309">
        <f t="shared" si="14"/>
        <v>0</v>
      </c>
    </row>
    <row r="310" spans="1:10" hidden="1" x14ac:dyDescent="0.35">
      <c r="A310" t="s">
        <v>641</v>
      </c>
      <c r="B310" t="s">
        <v>642</v>
      </c>
      <c r="C310" t="s">
        <v>596</v>
      </c>
      <c r="D310" t="s">
        <v>597</v>
      </c>
      <c r="E310">
        <v>0</v>
      </c>
      <c r="F310">
        <v>19990</v>
      </c>
      <c r="G310">
        <f t="shared" si="13"/>
        <v>0</v>
      </c>
      <c r="H310">
        <f t="shared" si="12"/>
        <v>0</v>
      </c>
      <c r="I310">
        <f>_xlfn.XLOOKUP(A310,'[1]Forecast 2026'!$A:$A,'[1]Forecast 2026'!$AJ:$AJ,"NA",0,1)</f>
        <v>0</v>
      </c>
      <c r="J310">
        <f t="shared" si="14"/>
        <v>0</v>
      </c>
    </row>
    <row r="311" spans="1:10" hidden="1" x14ac:dyDescent="0.35">
      <c r="A311" t="s">
        <v>643</v>
      </c>
      <c r="B311" t="s">
        <v>644</v>
      </c>
      <c r="C311" t="s">
        <v>596</v>
      </c>
      <c r="D311" t="s">
        <v>597</v>
      </c>
      <c r="E311">
        <v>32</v>
      </c>
      <c r="F311">
        <v>189990</v>
      </c>
      <c r="G311">
        <f t="shared" si="13"/>
        <v>6079680</v>
      </c>
      <c r="H311">
        <f t="shared" si="12"/>
        <v>-6079648</v>
      </c>
      <c r="I311">
        <f>_xlfn.XLOOKUP(A311,'[1]Forecast 2026'!$A:$A,'[1]Forecast 2026'!$AJ:$AJ,"NA",0,1)</f>
        <v>32</v>
      </c>
      <c r="J311">
        <f t="shared" si="14"/>
        <v>0</v>
      </c>
    </row>
    <row r="312" spans="1:10" hidden="1" x14ac:dyDescent="0.35">
      <c r="A312" t="s">
        <v>645</v>
      </c>
      <c r="B312" t="s">
        <v>646</v>
      </c>
      <c r="C312" t="s">
        <v>596</v>
      </c>
      <c r="D312" t="s">
        <v>597</v>
      </c>
      <c r="E312">
        <v>8</v>
      </c>
      <c r="F312">
        <v>159990</v>
      </c>
      <c r="G312">
        <f t="shared" si="13"/>
        <v>1279920</v>
      </c>
      <c r="H312">
        <f t="shared" si="12"/>
        <v>-1279912</v>
      </c>
      <c r="I312">
        <f>_xlfn.XLOOKUP(A312,'[1]Forecast 2026'!$A:$A,'[1]Forecast 2026'!$AJ:$AJ,"NA",0,1)</f>
        <v>8</v>
      </c>
      <c r="J312">
        <f t="shared" si="14"/>
        <v>0</v>
      </c>
    </row>
    <row r="313" spans="1:10" hidden="1" x14ac:dyDescent="0.35">
      <c r="A313" t="s">
        <v>647</v>
      </c>
      <c r="B313" t="s">
        <v>648</v>
      </c>
      <c r="C313" t="s">
        <v>596</v>
      </c>
      <c r="D313" t="s">
        <v>597</v>
      </c>
      <c r="E313">
        <v>1</v>
      </c>
      <c r="F313">
        <v>44990</v>
      </c>
      <c r="G313">
        <f t="shared" si="13"/>
        <v>44990</v>
      </c>
      <c r="H313">
        <f t="shared" si="12"/>
        <v>-44989</v>
      </c>
      <c r="I313">
        <f>_xlfn.XLOOKUP(A313,'[1]Forecast 2026'!$A:$A,'[1]Forecast 2026'!$AJ:$AJ,"NA",0,1)</f>
        <v>1</v>
      </c>
      <c r="J313">
        <f t="shared" si="14"/>
        <v>0</v>
      </c>
    </row>
    <row r="314" spans="1:10" hidden="1" x14ac:dyDescent="0.35">
      <c r="A314" t="s">
        <v>649</v>
      </c>
      <c r="B314" t="s">
        <v>650</v>
      </c>
      <c r="C314" t="s">
        <v>596</v>
      </c>
      <c r="D314" t="s">
        <v>597</v>
      </c>
      <c r="E314">
        <v>51</v>
      </c>
      <c r="F314">
        <v>14990</v>
      </c>
      <c r="G314">
        <f t="shared" si="13"/>
        <v>764490</v>
      </c>
      <c r="H314">
        <f t="shared" si="12"/>
        <v>-764439</v>
      </c>
      <c r="I314">
        <f>_xlfn.XLOOKUP(A314,'[1]Forecast 2026'!$A:$A,'[1]Forecast 2026'!$AJ:$AJ,"NA",0,1)</f>
        <v>51</v>
      </c>
      <c r="J314">
        <f t="shared" si="14"/>
        <v>0</v>
      </c>
    </row>
    <row r="315" spans="1:10" hidden="1" x14ac:dyDescent="0.35">
      <c r="A315" t="s">
        <v>651</v>
      </c>
      <c r="B315" t="s">
        <v>652</v>
      </c>
      <c r="C315" t="s">
        <v>596</v>
      </c>
      <c r="D315" t="s">
        <v>597</v>
      </c>
      <c r="E315">
        <v>0</v>
      </c>
      <c r="F315">
        <v>64990</v>
      </c>
      <c r="G315">
        <f t="shared" si="13"/>
        <v>0</v>
      </c>
      <c r="H315">
        <f t="shared" si="12"/>
        <v>0</v>
      </c>
      <c r="I315">
        <f>_xlfn.XLOOKUP(A315,'[1]Forecast 2026'!$A:$A,'[1]Forecast 2026'!$AJ:$AJ,"NA",0,1)</f>
        <v>0</v>
      </c>
      <c r="J315">
        <f t="shared" si="14"/>
        <v>0</v>
      </c>
    </row>
    <row r="316" spans="1:10" hidden="1" x14ac:dyDescent="0.35">
      <c r="A316" t="s">
        <v>653</v>
      </c>
      <c r="B316" t="s">
        <v>654</v>
      </c>
      <c r="C316" t="s">
        <v>596</v>
      </c>
      <c r="D316" t="s">
        <v>614</v>
      </c>
      <c r="E316">
        <v>0</v>
      </c>
      <c r="F316">
        <v>19980</v>
      </c>
      <c r="G316">
        <f t="shared" si="13"/>
        <v>0</v>
      </c>
      <c r="H316">
        <f t="shared" si="12"/>
        <v>0</v>
      </c>
      <c r="I316">
        <f>_xlfn.XLOOKUP(A316,'[1]Forecast 2026'!$A:$A,'[1]Forecast 2026'!$AJ:$AJ,"NA",0,1)</f>
        <v>0</v>
      </c>
      <c r="J316">
        <f t="shared" si="14"/>
        <v>0</v>
      </c>
    </row>
    <row r="317" spans="1:10" hidden="1" x14ac:dyDescent="0.35">
      <c r="A317" t="s">
        <v>655</v>
      </c>
      <c r="B317" t="s">
        <v>656</v>
      </c>
      <c r="C317" t="s">
        <v>596</v>
      </c>
      <c r="D317" t="s">
        <v>597</v>
      </c>
      <c r="E317">
        <v>0</v>
      </c>
      <c r="F317">
        <v>22990</v>
      </c>
      <c r="G317">
        <f t="shared" si="13"/>
        <v>0</v>
      </c>
      <c r="H317">
        <f t="shared" si="12"/>
        <v>0</v>
      </c>
      <c r="I317">
        <f>_xlfn.XLOOKUP(A317,'[1]Forecast 2026'!$A:$A,'[1]Forecast 2026'!$AJ:$AJ,"NA",0,1)</f>
        <v>0</v>
      </c>
      <c r="J317">
        <f t="shared" si="14"/>
        <v>0</v>
      </c>
    </row>
    <row r="318" spans="1:10" hidden="1" x14ac:dyDescent="0.35">
      <c r="A318" t="s">
        <v>657</v>
      </c>
      <c r="B318" t="s">
        <v>658</v>
      </c>
      <c r="C318" t="s">
        <v>596</v>
      </c>
      <c r="D318" t="s">
        <v>597</v>
      </c>
      <c r="E318">
        <v>0</v>
      </c>
      <c r="F318">
        <v>26990</v>
      </c>
      <c r="G318">
        <f t="shared" si="13"/>
        <v>0</v>
      </c>
      <c r="H318">
        <f t="shared" si="12"/>
        <v>0</v>
      </c>
      <c r="I318">
        <f>_xlfn.XLOOKUP(A318,'[1]Forecast 2026'!$A:$A,'[1]Forecast 2026'!$AJ:$AJ,"NA",0,1)</f>
        <v>0</v>
      </c>
      <c r="J318">
        <f t="shared" si="14"/>
        <v>0</v>
      </c>
    </row>
    <row r="319" spans="1:10" hidden="1" x14ac:dyDescent="0.35">
      <c r="A319" t="s">
        <v>659</v>
      </c>
      <c r="B319" t="s">
        <v>660</v>
      </c>
      <c r="C319" t="s">
        <v>596</v>
      </c>
      <c r="D319" t="s">
        <v>597</v>
      </c>
      <c r="E319">
        <v>0</v>
      </c>
      <c r="F319">
        <v>0</v>
      </c>
      <c r="G319">
        <f t="shared" si="13"/>
        <v>0</v>
      </c>
      <c r="H319">
        <f t="shared" si="12"/>
        <v>0</v>
      </c>
      <c r="I319">
        <f>_xlfn.XLOOKUP(A319,'[1]Forecast 2026'!$A:$A,'[1]Forecast 2026'!$AJ:$AJ,"NA",0,1)</f>
        <v>0</v>
      </c>
      <c r="J319">
        <f t="shared" si="14"/>
        <v>0</v>
      </c>
    </row>
    <row r="320" spans="1:10" hidden="1" x14ac:dyDescent="0.35">
      <c r="A320" t="s">
        <v>661</v>
      </c>
      <c r="B320" t="s">
        <v>662</v>
      </c>
      <c r="C320" t="s">
        <v>596</v>
      </c>
      <c r="D320" t="s">
        <v>597</v>
      </c>
      <c r="E320">
        <v>0</v>
      </c>
      <c r="F320">
        <v>0</v>
      </c>
      <c r="G320">
        <f t="shared" si="13"/>
        <v>0</v>
      </c>
      <c r="H320">
        <f t="shared" si="12"/>
        <v>0</v>
      </c>
      <c r="I320">
        <f>_xlfn.XLOOKUP(A320,'[1]Forecast 2026'!$A:$A,'[1]Forecast 2026'!$AJ:$AJ,"NA",0,1)</f>
        <v>0</v>
      </c>
      <c r="J320">
        <f t="shared" si="14"/>
        <v>0</v>
      </c>
    </row>
    <row r="321" spans="1:10" hidden="1" x14ac:dyDescent="0.35">
      <c r="A321" t="s">
        <v>663</v>
      </c>
      <c r="B321" t="s">
        <v>664</v>
      </c>
      <c r="C321" t="s">
        <v>596</v>
      </c>
      <c r="D321" t="s">
        <v>597</v>
      </c>
      <c r="E321">
        <v>5</v>
      </c>
      <c r="F321">
        <v>69990</v>
      </c>
      <c r="G321">
        <f t="shared" si="13"/>
        <v>349950</v>
      </c>
      <c r="H321">
        <f t="shared" si="12"/>
        <v>-349945</v>
      </c>
      <c r="I321">
        <f>_xlfn.XLOOKUP(A321,'[1]Forecast 2026'!$A:$A,'[1]Forecast 2026'!$AJ:$AJ,"NA",0,1)</f>
        <v>5</v>
      </c>
      <c r="J321">
        <f t="shared" si="14"/>
        <v>0</v>
      </c>
    </row>
    <row r="322" spans="1:10" hidden="1" x14ac:dyDescent="0.35">
      <c r="A322" t="s">
        <v>665</v>
      </c>
      <c r="B322" t="s">
        <v>666</v>
      </c>
      <c r="C322" t="s">
        <v>596</v>
      </c>
      <c r="D322" t="s">
        <v>597</v>
      </c>
      <c r="E322">
        <v>0</v>
      </c>
      <c r="F322">
        <v>0</v>
      </c>
      <c r="G322">
        <f t="shared" si="13"/>
        <v>0</v>
      </c>
      <c r="H322">
        <f t="shared" si="12"/>
        <v>0</v>
      </c>
      <c r="I322">
        <f>_xlfn.XLOOKUP(A322,'[1]Forecast 2026'!$A:$A,'[1]Forecast 2026'!$AJ:$AJ,"NA",0,1)</f>
        <v>0</v>
      </c>
      <c r="J322">
        <f t="shared" si="14"/>
        <v>0</v>
      </c>
    </row>
    <row r="323" spans="1:10" hidden="1" x14ac:dyDescent="0.35">
      <c r="A323" t="s">
        <v>667</v>
      </c>
      <c r="B323" t="s">
        <v>668</v>
      </c>
      <c r="C323" t="s">
        <v>596</v>
      </c>
      <c r="D323" t="s">
        <v>597</v>
      </c>
      <c r="E323">
        <v>0</v>
      </c>
      <c r="F323">
        <v>22990</v>
      </c>
      <c r="G323">
        <f t="shared" si="13"/>
        <v>0</v>
      </c>
      <c r="H323">
        <f t="shared" ref="H323:H386" si="15">E323-G323</f>
        <v>0</v>
      </c>
      <c r="I323">
        <f>_xlfn.XLOOKUP(A323,'[1]Forecast 2026'!$A:$A,'[1]Forecast 2026'!$AJ:$AJ,"NA",0,1)</f>
        <v>0</v>
      </c>
      <c r="J323">
        <f t="shared" si="14"/>
        <v>0</v>
      </c>
    </row>
    <row r="324" spans="1:10" hidden="1" x14ac:dyDescent="0.35">
      <c r="A324" t="s">
        <v>669</v>
      </c>
      <c r="B324" t="s">
        <v>670</v>
      </c>
      <c r="C324" t="s">
        <v>596</v>
      </c>
      <c r="D324" t="s">
        <v>597</v>
      </c>
      <c r="E324">
        <v>10</v>
      </c>
      <c r="F324">
        <v>49990</v>
      </c>
      <c r="G324">
        <f t="shared" ref="G324:G387" si="16">F324*E324</f>
        <v>499900</v>
      </c>
      <c r="H324">
        <f t="shared" si="15"/>
        <v>-499890</v>
      </c>
      <c r="I324">
        <f>_xlfn.XLOOKUP(A324,'[1]Forecast 2026'!$A:$A,'[1]Forecast 2026'!$AJ:$AJ,"NA",0,1)</f>
        <v>10</v>
      </c>
      <c r="J324">
        <f t="shared" ref="J324:J387" si="17">IFERROR(E324-I324,"")</f>
        <v>0</v>
      </c>
    </row>
    <row r="325" spans="1:10" hidden="1" x14ac:dyDescent="0.35">
      <c r="A325" t="s">
        <v>671</v>
      </c>
      <c r="B325" t="s">
        <v>672</v>
      </c>
      <c r="C325" t="s">
        <v>596</v>
      </c>
      <c r="D325" t="s">
        <v>597</v>
      </c>
      <c r="E325">
        <v>10</v>
      </c>
      <c r="F325">
        <v>19980</v>
      </c>
      <c r="G325">
        <f t="shared" si="16"/>
        <v>199800</v>
      </c>
      <c r="H325">
        <f t="shared" si="15"/>
        <v>-199790</v>
      </c>
      <c r="I325">
        <f>_xlfn.XLOOKUP(A325,'[1]Forecast 2026'!$A:$A,'[1]Forecast 2026'!$AJ:$AJ,"NA",0,1)</f>
        <v>10</v>
      </c>
      <c r="J325">
        <f t="shared" si="17"/>
        <v>0</v>
      </c>
    </row>
    <row r="326" spans="1:10" hidden="1" x14ac:dyDescent="0.35">
      <c r="A326" t="s">
        <v>673</v>
      </c>
      <c r="B326" t="s">
        <v>674</v>
      </c>
      <c r="C326" t="s">
        <v>596</v>
      </c>
      <c r="D326" t="s">
        <v>597</v>
      </c>
      <c r="E326">
        <v>0</v>
      </c>
      <c r="F326">
        <v>19980</v>
      </c>
      <c r="G326">
        <f t="shared" si="16"/>
        <v>0</v>
      </c>
      <c r="H326">
        <f t="shared" si="15"/>
        <v>0</v>
      </c>
      <c r="I326">
        <f>_xlfn.XLOOKUP(A326,'[1]Forecast 2026'!$A:$A,'[1]Forecast 2026'!$AJ:$AJ,"NA",0,1)</f>
        <v>0</v>
      </c>
      <c r="J326">
        <f t="shared" si="17"/>
        <v>0</v>
      </c>
    </row>
    <row r="327" spans="1:10" hidden="1" x14ac:dyDescent="0.35">
      <c r="A327" t="s">
        <v>675</v>
      </c>
      <c r="B327" t="s">
        <v>676</v>
      </c>
      <c r="C327" t="s">
        <v>596</v>
      </c>
      <c r="D327" t="s">
        <v>677</v>
      </c>
      <c r="E327">
        <v>4</v>
      </c>
      <c r="F327">
        <v>49990</v>
      </c>
      <c r="G327">
        <f t="shared" si="16"/>
        <v>199960</v>
      </c>
      <c r="H327">
        <f t="shared" si="15"/>
        <v>-199956</v>
      </c>
      <c r="I327">
        <f>_xlfn.XLOOKUP(A327,'[1]Forecast 2026'!$A:$A,'[1]Forecast 2026'!$AJ:$AJ,"NA",0,1)</f>
        <v>4</v>
      </c>
      <c r="J327">
        <f t="shared" si="17"/>
        <v>0</v>
      </c>
    </row>
    <row r="328" spans="1:10" hidden="1" x14ac:dyDescent="0.35">
      <c r="A328" t="s">
        <v>678</v>
      </c>
      <c r="B328" t="s">
        <v>679</v>
      </c>
      <c r="C328" t="s">
        <v>596</v>
      </c>
      <c r="D328" t="s">
        <v>597</v>
      </c>
      <c r="E328">
        <v>0</v>
      </c>
      <c r="F328">
        <v>0</v>
      </c>
      <c r="G328">
        <f t="shared" si="16"/>
        <v>0</v>
      </c>
      <c r="H328">
        <f t="shared" si="15"/>
        <v>0</v>
      </c>
      <c r="I328">
        <f>_xlfn.XLOOKUP(A328,'[1]Forecast 2026'!$A:$A,'[1]Forecast 2026'!$AJ:$AJ,"NA",0,1)</f>
        <v>0</v>
      </c>
      <c r="J328">
        <f t="shared" si="17"/>
        <v>0</v>
      </c>
    </row>
    <row r="329" spans="1:10" hidden="1" x14ac:dyDescent="0.35">
      <c r="A329" t="s">
        <v>680</v>
      </c>
      <c r="B329" t="s">
        <v>681</v>
      </c>
      <c r="C329" t="s">
        <v>596</v>
      </c>
      <c r="D329" t="s">
        <v>597</v>
      </c>
      <c r="E329">
        <v>50</v>
      </c>
      <c r="F329">
        <v>59990</v>
      </c>
      <c r="G329">
        <f t="shared" si="16"/>
        <v>2999500</v>
      </c>
      <c r="H329">
        <f t="shared" si="15"/>
        <v>-2999450</v>
      </c>
      <c r="I329">
        <f>_xlfn.XLOOKUP(A329,'[1]Forecast 2026'!$A:$A,'[1]Forecast 2026'!$AJ:$AJ,"NA",0,1)</f>
        <v>50</v>
      </c>
      <c r="J329">
        <f t="shared" si="17"/>
        <v>0</v>
      </c>
    </row>
    <row r="330" spans="1:10" hidden="1" x14ac:dyDescent="0.35">
      <c r="A330" t="s">
        <v>682</v>
      </c>
      <c r="B330" t="s">
        <v>683</v>
      </c>
      <c r="C330" t="s">
        <v>596</v>
      </c>
      <c r="D330" t="s">
        <v>597</v>
      </c>
      <c r="E330">
        <v>18</v>
      </c>
      <c r="F330">
        <v>24990</v>
      </c>
      <c r="G330">
        <f t="shared" si="16"/>
        <v>449820</v>
      </c>
      <c r="H330">
        <f t="shared" si="15"/>
        <v>-449802</v>
      </c>
      <c r="I330">
        <f>_xlfn.XLOOKUP(A330,'[1]Forecast 2026'!$A:$A,'[1]Forecast 2026'!$AJ:$AJ,"NA",0,1)</f>
        <v>18</v>
      </c>
      <c r="J330">
        <f t="shared" si="17"/>
        <v>0</v>
      </c>
    </row>
    <row r="331" spans="1:10" hidden="1" x14ac:dyDescent="0.35">
      <c r="A331" t="s">
        <v>684</v>
      </c>
      <c r="B331" t="s">
        <v>685</v>
      </c>
      <c r="C331" t="s">
        <v>686</v>
      </c>
      <c r="D331" t="s">
        <v>687</v>
      </c>
      <c r="E331">
        <v>200</v>
      </c>
      <c r="F331">
        <v>19980</v>
      </c>
      <c r="G331">
        <f t="shared" si="16"/>
        <v>3996000</v>
      </c>
      <c r="H331">
        <f t="shared" si="15"/>
        <v>-3995800</v>
      </c>
      <c r="I331">
        <f>_xlfn.XLOOKUP(A331,'[1]Forecast 2026'!$A:$A,'[1]Forecast 2026'!$AJ:$AJ,"NA",0,1)</f>
        <v>200</v>
      </c>
      <c r="J331">
        <f t="shared" si="17"/>
        <v>0</v>
      </c>
    </row>
    <row r="332" spans="1:10" hidden="1" x14ac:dyDescent="0.35">
      <c r="A332" t="s">
        <v>688</v>
      </c>
      <c r="B332" t="s">
        <v>689</v>
      </c>
      <c r="C332" t="s">
        <v>686</v>
      </c>
      <c r="D332" t="s">
        <v>687</v>
      </c>
      <c r="E332">
        <v>0</v>
      </c>
      <c r="F332">
        <v>12990</v>
      </c>
      <c r="G332">
        <f t="shared" si="16"/>
        <v>0</v>
      </c>
      <c r="H332">
        <f t="shared" si="15"/>
        <v>0</v>
      </c>
      <c r="I332">
        <f>_xlfn.XLOOKUP(A332,'[1]Forecast 2026'!$A:$A,'[1]Forecast 2026'!$AJ:$AJ,"NA",0,1)</f>
        <v>0</v>
      </c>
      <c r="J332">
        <f t="shared" si="17"/>
        <v>0</v>
      </c>
    </row>
    <row r="333" spans="1:10" hidden="1" x14ac:dyDescent="0.35">
      <c r="A333" t="s">
        <v>690</v>
      </c>
      <c r="B333" t="s">
        <v>691</v>
      </c>
      <c r="C333" t="s">
        <v>686</v>
      </c>
      <c r="D333" t="s">
        <v>687</v>
      </c>
      <c r="E333">
        <v>9</v>
      </c>
      <c r="F333">
        <v>99990</v>
      </c>
      <c r="G333">
        <f t="shared" si="16"/>
        <v>899910</v>
      </c>
      <c r="H333">
        <f t="shared" si="15"/>
        <v>-899901</v>
      </c>
      <c r="I333">
        <f>_xlfn.XLOOKUP(A333,'[1]Forecast 2026'!$A:$A,'[1]Forecast 2026'!$AJ:$AJ,"NA",0,1)</f>
        <v>9</v>
      </c>
      <c r="J333">
        <f t="shared" si="17"/>
        <v>0</v>
      </c>
    </row>
    <row r="334" spans="1:10" hidden="1" x14ac:dyDescent="0.35">
      <c r="A334" t="s">
        <v>692</v>
      </c>
      <c r="B334" t="s">
        <v>693</v>
      </c>
      <c r="C334" t="s">
        <v>686</v>
      </c>
      <c r="D334" t="s">
        <v>687</v>
      </c>
      <c r="E334">
        <v>0</v>
      </c>
      <c r="F334">
        <v>49990</v>
      </c>
      <c r="G334">
        <f t="shared" si="16"/>
        <v>0</v>
      </c>
      <c r="H334">
        <f t="shared" si="15"/>
        <v>0</v>
      </c>
      <c r="I334">
        <f>_xlfn.XLOOKUP(A334,'[1]Forecast 2026'!$A:$A,'[1]Forecast 2026'!$AJ:$AJ,"NA",0,1)</f>
        <v>0</v>
      </c>
      <c r="J334">
        <f t="shared" si="17"/>
        <v>0</v>
      </c>
    </row>
    <row r="335" spans="1:10" hidden="1" x14ac:dyDescent="0.35">
      <c r="A335" t="s">
        <v>694</v>
      </c>
      <c r="B335" t="s">
        <v>695</v>
      </c>
      <c r="C335" t="s">
        <v>686</v>
      </c>
      <c r="D335" t="s">
        <v>687</v>
      </c>
      <c r="E335">
        <v>0</v>
      </c>
      <c r="F335">
        <v>39990</v>
      </c>
      <c r="G335">
        <f t="shared" si="16"/>
        <v>0</v>
      </c>
      <c r="H335">
        <f t="shared" si="15"/>
        <v>0</v>
      </c>
      <c r="I335">
        <f>_xlfn.XLOOKUP(A335,'[1]Forecast 2026'!$A:$A,'[1]Forecast 2026'!$AJ:$AJ,"NA",0,1)</f>
        <v>0</v>
      </c>
      <c r="J335">
        <f t="shared" si="17"/>
        <v>0</v>
      </c>
    </row>
    <row r="336" spans="1:10" hidden="1" x14ac:dyDescent="0.35">
      <c r="A336" t="s">
        <v>696</v>
      </c>
      <c r="B336" t="s">
        <v>697</v>
      </c>
      <c r="C336" t="s">
        <v>686</v>
      </c>
      <c r="D336" t="s">
        <v>687</v>
      </c>
      <c r="E336">
        <v>9</v>
      </c>
      <c r="F336">
        <v>24990</v>
      </c>
      <c r="G336">
        <f t="shared" si="16"/>
        <v>224910</v>
      </c>
      <c r="H336">
        <f t="shared" si="15"/>
        <v>-224901</v>
      </c>
      <c r="I336">
        <f>_xlfn.XLOOKUP(A336,'[1]Forecast 2026'!$A:$A,'[1]Forecast 2026'!$AJ:$AJ,"NA",0,1)</f>
        <v>9</v>
      </c>
      <c r="J336">
        <f t="shared" si="17"/>
        <v>0</v>
      </c>
    </row>
    <row r="337" spans="1:10" hidden="1" x14ac:dyDescent="0.35">
      <c r="A337" t="s">
        <v>698</v>
      </c>
      <c r="B337" t="s">
        <v>699</v>
      </c>
      <c r="C337" t="s">
        <v>686</v>
      </c>
      <c r="D337" t="s">
        <v>687</v>
      </c>
      <c r="E337">
        <v>6</v>
      </c>
      <c r="F337">
        <v>24990</v>
      </c>
      <c r="G337">
        <f t="shared" si="16"/>
        <v>149940</v>
      </c>
      <c r="H337">
        <f t="shared" si="15"/>
        <v>-149934</v>
      </c>
      <c r="I337">
        <f>_xlfn.XLOOKUP(A337,'[1]Forecast 2026'!$A:$A,'[1]Forecast 2026'!$AJ:$AJ,"NA",0,1)</f>
        <v>6</v>
      </c>
      <c r="J337">
        <f t="shared" si="17"/>
        <v>0</v>
      </c>
    </row>
    <row r="338" spans="1:10" hidden="1" x14ac:dyDescent="0.35">
      <c r="A338" t="s">
        <v>700</v>
      </c>
      <c r="B338" t="s">
        <v>701</v>
      </c>
      <c r="C338" t="s">
        <v>686</v>
      </c>
      <c r="D338" t="s">
        <v>687</v>
      </c>
      <c r="E338">
        <v>30</v>
      </c>
      <c r="F338">
        <v>19980</v>
      </c>
      <c r="G338">
        <f t="shared" si="16"/>
        <v>599400</v>
      </c>
      <c r="H338">
        <f t="shared" si="15"/>
        <v>-599370</v>
      </c>
      <c r="I338">
        <f>_xlfn.XLOOKUP(A338,'[1]Forecast 2026'!$A:$A,'[1]Forecast 2026'!$AJ:$AJ,"NA",0,1)</f>
        <v>30</v>
      </c>
      <c r="J338">
        <f t="shared" si="17"/>
        <v>0</v>
      </c>
    </row>
    <row r="339" spans="1:10" hidden="1" x14ac:dyDescent="0.35">
      <c r="A339" t="s">
        <v>702</v>
      </c>
      <c r="B339" t="s">
        <v>703</v>
      </c>
      <c r="C339" t="s">
        <v>686</v>
      </c>
      <c r="D339" t="s">
        <v>687</v>
      </c>
      <c r="E339">
        <v>8</v>
      </c>
      <c r="F339">
        <v>19980</v>
      </c>
      <c r="G339">
        <f t="shared" si="16"/>
        <v>159840</v>
      </c>
      <c r="H339">
        <f t="shared" si="15"/>
        <v>-159832</v>
      </c>
      <c r="I339">
        <f>_xlfn.XLOOKUP(A339,'[1]Forecast 2026'!$A:$A,'[1]Forecast 2026'!$AJ:$AJ,"NA",0,1)</f>
        <v>8</v>
      </c>
      <c r="J339">
        <f t="shared" si="17"/>
        <v>0</v>
      </c>
    </row>
    <row r="340" spans="1:10" hidden="1" x14ac:dyDescent="0.35">
      <c r="A340" t="s">
        <v>704</v>
      </c>
      <c r="B340" t="s">
        <v>705</v>
      </c>
      <c r="C340" t="s">
        <v>686</v>
      </c>
      <c r="D340" t="s">
        <v>687</v>
      </c>
      <c r="E340">
        <v>0</v>
      </c>
      <c r="F340">
        <v>5990</v>
      </c>
      <c r="G340">
        <f t="shared" si="16"/>
        <v>0</v>
      </c>
      <c r="H340">
        <f t="shared" si="15"/>
        <v>0</v>
      </c>
      <c r="I340">
        <f>_xlfn.XLOOKUP(A340,'[1]Forecast 2026'!$A:$A,'[1]Forecast 2026'!$AJ:$AJ,"NA",0,1)</f>
        <v>0</v>
      </c>
      <c r="J340">
        <f t="shared" si="17"/>
        <v>0</v>
      </c>
    </row>
    <row r="341" spans="1:10" hidden="1" x14ac:dyDescent="0.35">
      <c r="A341" t="s">
        <v>706</v>
      </c>
      <c r="B341" t="s">
        <v>707</v>
      </c>
      <c r="C341" t="s">
        <v>686</v>
      </c>
      <c r="D341" t="s">
        <v>687</v>
      </c>
      <c r="E341">
        <v>13</v>
      </c>
      <c r="F341">
        <v>6990</v>
      </c>
      <c r="G341">
        <f t="shared" si="16"/>
        <v>90870</v>
      </c>
      <c r="H341">
        <f t="shared" si="15"/>
        <v>-90857</v>
      </c>
      <c r="I341">
        <f>_xlfn.XLOOKUP(A341,'[1]Forecast 2026'!$A:$A,'[1]Forecast 2026'!$AJ:$AJ,"NA",0,1)</f>
        <v>13</v>
      </c>
      <c r="J341">
        <f t="shared" si="17"/>
        <v>0</v>
      </c>
    </row>
    <row r="342" spans="1:10" hidden="1" x14ac:dyDescent="0.35">
      <c r="A342" t="s">
        <v>708</v>
      </c>
      <c r="B342" t="s">
        <v>709</v>
      </c>
      <c r="C342" t="s">
        <v>686</v>
      </c>
      <c r="D342" t="s">
        <v>687</v>
      </c>
      <c r="E342">
        <v>12</v>
      </c>
      <c r="F342">
        <v>19980</v>
      </c>
      <c r="G342">
        <f t="shared" si="16"/>
        <v>239760</v>
      </c>
      <c r="H342">
        <f t="shared" si="15"/>
        <v>-239748</v>
      </c>
      <c r="I342">
        <f>_xlfn.XLOOKUP(A342,'[1]Forecast 2026'!$A:$A,'[1]Forecast 2026'!$AJ:$AJ,"NA",0,1)</f>
        <v>12</v>
      </c>
      <c r="J342">
        <f t="shared" si="17"/>
        <v>0</v>
      </c>
    </row>
    <row r="343" spans="1:10" hidden="1" x14ac:dyDescent="0.35">
      <c r="A343" t="s">
        <v>710</v>
      </c>
      <c r="B343" t="s">
        <v>711</v>
      </c>
      <c r="C343" t="s">
        <v>686</v>
      </c>
      <c r="D343" t="s">
        <v>687</v>
      </c>
      <c r="E343">
        <v>15</v>
      </c>
      <c r="F343">
        <v>19980</v>
      </c>
      <c r="G343">
        <f t="shared" si="16"/>
        <v>299700</v>
      </c>
      <c r="H343">
        <f t="shared" si="15"/>
        <v>-299685</v>
      </c>
      <c r="I343">
        <f>_xlfn.XLOOKUP(A343,'[1]Forecast 2026'!$A:$A,'[1]Forecast 2026'!$AJ:$AJ,"NA",0,1)</f>
        <v>15</v>
      </c>
      <c r="J343">
        <f t="shared" si="17"/>
        <v>0</v>
      </c>
    </row>
    <row r="344" spans="1:10" hidden="1" x14ac:dyDescent="0.35">
      <c r="A344" t="s">
        <v>712</v>
      </c>
      <c r="B344" t="s">
        <v>713</v>
      </c>
      <c r="C344" t="s">
        <v>686</v>
      </c>
      <c r="D344" t="s">
        <v>687</v>
      </c>
      <c r="E344">
        <v>17</v>
      </c>
      <c r="F344">
        <v>19980</v>
      </c>
      <c r="G344">
        <f t="shared" si="16"/>
        <v>339660</v>
      </c>
      <c r="H344">
        <f t="shared" si="15"/>
        <v>-339643</v>
      </c>
      <c r="I344">
        <f>_xlfn.XLOOKUP(A344,'[1]Forecast 2026'!$A:$A,'[1]Forecast 2026'!$AJ:$AJ,"NA",0,1)</f>
        <v>17</v>
      </c>
      <c r="J344">
        <f t="shared" si="17"/>
        <v>0</v>
      </c>
    </row>
    <row r="345" spans="1:10" hidden="1" x14ac:dyDescent="0.35">
      <c r="A345" t="s">
        <v>714</v>
      </c>
      <c r="B345" t="s">
        <v>715</v>
      </c>
      <c r="C345" t="s">
        <v>686</v>
      </c>
      <c r="D345" t="s">
        <v>687</v>
      </c>
      <c r="E345">
        <v>12</v>
      </c>
      <c r="F345">
        <v>19980</v>
      </c>
      <c r="G345">
        <f t="shared" si="16"/>
        <v>239760</v>
      </c>
      <c r="H345">
        <f t="shared" si="15"/>
        <v>-239748</v>
      </c>
      <c r="I345">
        <f>_xlfn.XLOOKUP(A345,'[1]Forecast 2026'!$A:$A,'[1]Forecast 2026'!$AJ:$AJ,"NA",0,1)</f>
        <v>12</v>
      </c>
      <c r="J345">
        <f t="shared" si="17"/>
        <v>0</v>
      </c>
    </row>
    <row r="346" spans="1:10" hidden="1" x14ac:dyDescent="0.35">
      <c r="A346" t="s">
        <v>716</v>
      </c>
      <c r="B346" t="s">
        <v>717</v>
      </c>
      <c r="C346" t="s">
        <v>686</v>
      </c>
      <c r="D346" t="s">
        <v>687</v>
      </c>
      <c r="E346">
        <v>0</v>
      </c>
      <c r="F346">
        <v>29990</v>
      </c>
      <c r="G346">
        <f t="shared" si="16"/>
        <v>0</v>
      </c>
      <c r="H346">
        <f t="shared" si="15"/>
        <v>0</v>
      </c>
      <c r="I346">
        <f>_xlfn.XLOOKUP(A346,'[1]Forecast 2026'!$A:$A,'[1]Forecast 2026'!$AJ:$AJ,"NA",0,1)</f>
        <v>0</v>
      </c>
      <c r="J346">
        <f t="shared" si="17"/>
        <v>0</v>
      </c>
    </row>
    <row r="347" spans="1:10" hidden="1" x14ac:dyDescent="0.35">
      <c r="A347" t="s">
        <v>718</v>
      </c>
      <c r="B347" t="s">
        <v>719</v>
      </c>
      <c r="C347" t="s">
        <v>686</v>
      </c>
      <c r="D347" t="s">
        <v>687</v>
      </c>
      <c r="E347">
        <v>0</v>
      </c>
      <c r="F347">
        <v>36990</v>
      </c>
      <c r="G347">
        <f t="shared" si="16"/>
        <v>0</v>
      </c>
      <c r="H347">
        <f t="shared" si="15"/>
        <v>0</v>
      </c>
      <c r="I347">
        <f>_xlfn.XLOOKUP(A347,'[1]Forecast 2026'!$A:$A,'[1]Forecast 2026'!$AJ:$AJ,"NA",0,1)</f>
        <v>0</v>
      </c>
      <c r="J347">
        <f t="shared" si="17"/>
        <v>0</v>
      </c>
    </row>
    <row r="348" spans="1:10" hidden="1" x14ac:dyDescent="0.35">
      <c r="A348" t="s">
        <v>720</v>
      </c>
      <c r="B348" t="s">
        <v>721</v>
      </c>
      <c r="C348" t="s">
        <v>686</v>
      </c>
      <c r="D348" t="s">
        <v>687</v>
      </c>
      <c r="E348">
        <v>0</v>
      </c>
      <c r="F348">
        <v>35990</v>
      </c>
      <c r="G348">
        <f t="shared" si="16"/>
        <v>0</v>
      </c>
      <c r="H348">
        <f t="shared" si="15"/>
        <v>0</v>
      </c>
      <c r="I348">
        <f>_xlfn.XLOOKUP(A348,'[1]Forecast 2026'!$A:$A,'[1]Forecast 2026'!$AJ:$AJ,"NA",0,1)</f>
        <v>0</v>
      </c>
      <c r="J348">
        <f t="shared" si="17"/>
        <v>0</v>
      </c>
    </row>
    <row r="349" spans="1:10" hidden="1" x14ac:dyDescent="0.35">
      <c r="A349" t="s">
        <v>722</v>
      </c>
      <c r="B349" t="s">
        <v>723</v>
      </c>
      <c r="C349" t="s">
        <v>686</v>
      </c>
      <c r="D349" t="s">
        <v>687</v>
      </c>
      <c r="E349">
        <v>3</v>
      </c>
      <c r="F349">
        <v>29990</v>
      </c>
      <c r="G349">
        <f t="shared" si="16"/>
        <v>89970</v>
      </c>
      <c r="H349">
        <f t="shared" si="15"/>
        <v>-89967</v>
      </c>
      <c r="I349">
        <f>_xlfn.XLOOKUP(A349,'[1]Forecast 2026'!$A:$A,'[1]Forecast 2026'!$AJ:$AJ,"NA",0,1)</f>
        <v>3</v>
      </c>
      <c r="J349">
        <f t="shared" si="17"/>
        <v>0</v>
      </c>
    </row>
    <row r="350" spans="1:10" hidden="1" x14ac:dyDescent="0.35">
      <c r="A350" t="s">
        <v>724</v>
      </c>
      <c r="B350" t="s">
        <v>725</v>
      </c>
      <c r="C350" t="s">
        <v>686</v>
      </c>
      <c r="D350" t="s">
        <v>687</v>
      </c>
      <c r="E350">
        <v>0</v>
      </c>
      <c r="F350">
        <v>19980</v>
      </c>
      <c r="G350">
        <f t="shared" si="16"/>
        <v>0</v>
      </c>
      <c r="H350">
        <f t="shared" si="15"/>
        <v>0</v>
      </c>
      <c r="I350">
        <f>_xlfn.XLOOKUP(A350,'[1]Forecast 2026'!$A:$A,'[1]Forecast 2026'!$AJ:$AJ,"NA",0,1)</f>
        <v>0</v>
      </c>
      <c r="J350">
        <f t="shared" si="17"/>
        <v>0</v>
      </c>
    </row>
    <row r="351" spans="1:10" hidden="1" x14ac:dyDescent="0.35">
      <c r="A351" t="s">
        <v>726</v>
      </c>
      <c r="B351" t="s">
        <v>727</v>
      </c>
      <c r="C351" t="s">
        <v>686</v>
      </c>
      <c r="D351" t="s">
        <v>687</v>
      </c>
      <c r="E351">
        <v>0</v>
      </c>
      <c r="F351">
        <v>19980</v>
      </c>
      <c r="G351">
        <f t="shared" si="16"/>
        <v>0</v>
      </c>
      <c r="H351">
        <f t="shared" si="15"/>
        <v>0</v>
      </c>
      <c r="I351">
        <f>_xlfn.XLOOKUP(A351,'[1]Forecast 2026'!$A:$A,'[1]Forecast 2026'!$AJ:$AJ,"NA",0,1)</f>
        <v>0</v>
      </c>
      <c r="J351">
        <f t="shared" si="17"/>
        <v>0</v>
      </c>
    </row>
    <row r="352" spans="1:10" hidden="1" x14ac:dyDescent="0.35">
      <c r="A352" t="s">
        <v>728</v>
      </c>
      <c r="B352" t="s">
        <v>729</v>
      </c>
      <c r="C352" t="s">
        <v>686</v>
      </c>
      <c r="D352" t="s">
        <v>687</v>
      </c>
      <c r="E352">
        <v>0</v>
      </c>
      <c r="F352">
        <v>29990</v>
      </c>
      <c r="G352">
        <f t="shared" si="16"/>
        <v>0</v>
      </c>
      <c r="H352">
        <f t="shared" si="15"/>
        <v>0</v>
      </c>
      <c r="I352">
        <f>_xlfn.XLOOKUP(A352,'[1]Forecast 2026'!$A:$A,'[1]Forecast 2026'!$AJ:$AJ,"NA",0,1)</f>
        <v>0</v>
      </c>
      <c r="J352">
        <f t="shared" si="17"/>
        <v>0</v>
      </c>
    </row>
    <row r="353" spans="1:10" hidden="1" x14ac:dyDescent="0.35">
      <c r="A353" t="s">
        <v>730</v>
      </c>
      <c r="B353" t="s">
        <v>731</v>
      </c>
      <c r="C353" t="s">
        <v>686</v>
      </c>
      <c r="D353" t="s">
        <v>687</v>
      </c>
      <c r="E353">
        <v>0</v>
      </c>
      <c r="F353">
        <v>36990</v>
      </c>
      <c r="G353">
        <f t="shared" si="16"/>
        <v>0</v>
      </c>
      <c r="H353">
        <f t="shared" si="15"/>
        <v>0</v>
      </c>
      <c r="I353">
        <f>_xlfn.XLOOKUP(A353,'[1]Forecast 2026'!$A:$A,'[1]Forecast 2026'!$AJ:$AJ,"NA",0,1)</f>
        <v>0</v>
      </c>
      <c r="J353">
        <f t="shared" si="17"/>
        <v>0</v>
      </c>
    </row>
    <row r="354" spans="1:10" hidden="1" x14ac:dyDescent="0.35">
      <c r="A354" t="s">
        <v>732</v>
      </c>
      <c r="B354" t="s">
        <v>733</v>
      </c>
      <c r="C354" t="s">
        <v>686</v>
      </c>
      <c r="D354" t="s">
        <v>687</v>
      </c>
      <c r="E354">
        <v>6</v>
      </c>
      <c r="F354">
        <v>24990</v>
      </c>
      <c r="G354">
        <f t="shared" si="16"/>
        <v>149940</v>
      </c>
      <c r="H354">
        <f t="shared" si="15"/>
        <v>-149934</v>
      </c>
      <c r="I354">
        <f>_xlfn.XLOOKUP(A354,'[1]Forecast 2026'!$A:$A,'[1]Forecast 2026'!$AJ:$AJ,"NA",0,1)</f>
        <v>6</v>
      </c>
      <c r="J354">
        <f t="shared" si="17"/>
        <v>0</v>
      </c>
    </row>
    <row r="355" spans="1:10" hidden="1" x14ac:dyDescent="0.35">
      <c r="A355" t="s">
        <v>734</v>
      </c>
      <c r="B355" t="s">
        <v>735</v>
      </c>
      <c r="C355" t="s">
        <v>686</v>
      </c>
      <c r="D355" t="s">
        <v>687</v>
      </c>
      <c r="E355">
        <v>0</v>
      </c>
      <c r="F355">
        <v>29990</v>
      </c>
      <c r="G355">
        <f t="shared" si="16"/>
        <v>0</v>
      </c>
      <c r="H355">
        <f t="shared" si="15"/>
        <v>0</v>
      </c>
      <c r="I355">
        <f>_xlfn.XLOOKUP(A355,'[1]Forecast 2026'!$A:$A,'[1]Forecast 2026'!$AJ:$AJ,"NA",0,1)</f>
        <v>0</v>
      </c>
      <c r="J355">
        <f t="shared" si="17"/>
        <v>0</v>
      </c>
    </row>
    <row r="356" spans="1:10" hidden="1" x14ac:dyDescent="0.35">
      <c r="A356" t="s">
        <v>736</v>
      </c>
      <c r="B356" t="s">
        <v>737</v>
      </c>
      <c r="C356" t="s">
        <v>686</v>
      </c>
      <c r="D356" t="s">
        <v>687</v>
      </c>
      <c r="E356">
        <v>22</v>
      </c>
      <c r="F356">
        <v>49990</v>
      </c>
      <c r="G356">
        <f t="shared" si="16"/>
        <v>1099780</v>
      </c>
      <c r="H356">
        <f t="shared" si="15"/>
        <v>-1099758</v>
      </c>
      <c r="I356">
        <f>_xlfn.XLOOKUP(A356,'[1]Forecast 2026'!$A:$A,'[1]Forecast 2026'!$AJ:$AJ,"NA",0,1)</f>
        <v>22</v>
      </c>
      <c r="J356">
        <f t="shared" si="17"/>
        <v>0</v>
      </c>
    </row>
    <row r="357" spans="1:10" hidden="1" x14ac:dyDescent="0.35">
      <c r="A357" t="s">
        <v>738</v>
      </c>
      <c r="B357" t="s">
        <v>739</v>
      </c>
      <c r="C357" t="s">
        <v>686</v>
      </c>
      <c r="D357" t="s">
        <v>687</v>
      </c>
      <c r="E357">
        <v>9</v>
      </c>
      <c r="F357">
        <v>74990</v>
      </c>
      <c r="G357">
        <f t="shared" si="16"/>
        <v>674910</v>
      </c>
      <c r="H357">
        <f t="shared" si="15"/>
        <v>-674901</v>
      </c>
      <c r="I357">
        <f>_xlfn.XLOOKUP(A357,'[1]Forecast 2026'!$A:$A,'[1]Forecast 2026'!$AJ:$AJ,"NA",0,1)</f>
        <v>9</v>
      </c>
      <c r="J357">
        <f t="shared" si="17"/>
        <v>0</v>
      </c>
    </row>
    <row r="358" spans="1:10" hidden="1" x14ac:dyDescent="0.35">
      <c r="A358" t="s">
        <v>740</v>
      </c>
      <c r="B358" t="s">
        <v>741</v>
      </c>
      <c r="C358" t="s">
        <v>686</v>
      </c>
      <c r="D358" t="s">
        <v>687</v>
      </c>
      <c r="E358">
        <v>21</v>
      </c>
      <c r="F358">
        <v>49990</v>
      </c>
      <c r="G358">
        <f t="shared" si="16"/>
        <v>1049790</v>
      </c>
      <c r="H358">
        <f t="shared" si="15"/>
        <v>-1049769</v>
      </c>
      <c r="I358">
        <f>_xlfn.XLOOKUP(A358,'[1]Forecast 2026'!$A:$A,'[1]Forecast 2026'!$AJ:$AJ,"NA",0,1)</f>
        <v>21</v>
      </c>
      <c r="J358">
        <f t="shared" si="17"/>
        <v>0</v>
      </c>
    </row>
    <row r="359" spans="1:10" hidden="1" x14ac:dyDescent="0.35">
      <c r="A359" t="s">
        <v>742</v>
      </c>
      <c r="B359" t="s">
        <v>743</v>
      </c>
      <c r="C359" t="s">
        <v>686</v>
      </c>
      <c r="D359" t="s">
        <v>687</v>
      </c>
      <c r="E359">
        <v>0</v>
      </c>
      <c r="F359">
        <v>39990</v>
      </c>
      <c r="G359">
        <f t="shared" si="16"/>
        <v>0</v>
      </c>
      <c r="H359">
        <f t="shared" si="15"/>
        <v>0</v>
      </c>
      <c r="I359">
        <f>_xlfn.XLOOKUP(A359,'[1]Forecast 2026'!$A:$A,'[1]Forecast 2026'!$AJ:$AJ,"NA",0,1)</f>
        <v>0</v>
      </c>
      <c r="J359">
        <f t="shared" si="17"/>
        <v>0</v>
      </c>
    </row>
    <row r="360" spans="1:10" hidden="1" x14ac:dyDescent="0.35">
      <c r="A360" t="s">
        <v>744</v>
      </c>
      <c r="B360" t="s">
        <v>745</v>
      </c>
      <c r="C360" t="s">
        <v>686</v>
      </c>
      <c r="D360" t="s">
        <v>687</v>
      </c>
      <c r="E360">
        <v>21</v>
      </c>
      <c r="F360">
        <v>74990</v>
      </c>
      <c r="G360">
        <f t="shared" si="16"/>
        <v>1574790</v>
      </c>
      <c r="H360">
        <f t="shared" si="15"/>
        <v>-1574769</v>
      </c>
      <c r="I360">
        <f>_xlfn.XLOOKUP(A360,'[1]Forecast 2026'!$A:$A,'[1]Forecast 2026'!$AJ:$AJ,"NA",0,1)</f>
        <v>21</v>
      </c>
      <c r="J360">
        <f t="shared" si="17"/>
        <v>0</v>
      </c>
    </row>
    <row r="361" spans="1:10" hidden="1" x14ac:dyDescent="0.35">
      <c r="A361" t="s">
        <v>746</v>
      </c>
      <c r="B361" t="s">
        <v>747</v>
      </c>
      <c r="C361" t="s">
        <v>686</v>
      </c>
      <c r="D361" t="s">
        <v>687</v>
      </c>
      <c r="E361">
        <v>14</v>
      </c>
      <c r="F361">
        <v>17990</v>
      </c>
      <c r="G361">
        <f t="shared" si="16"/>
        <v>251860</v>
      </c>
      <c r="H361">
        <f t="shared" si="15"/>
        <v>-251846</v>
      </c>
      <c r="I361">
        <f>_xlfn.XLOOKUP(A361,'[1]Forecast 2026'!$A:$A,'[1]Forecast 2026'!$AJ:$AJ,"NA",0,1)</f>
        <v>14</v>
      </c>
      <c r="J361">
        <f t="shared" si="17"/>
        <v>0</v>
      </c>
    </row>
    <row r="362" spans="1:10" hidden="1" x14ac:dyDescent="0.35">
      <c r="A362" t="s">
        <v>748</v>
      </c>
      <c r="B362" t="s">
        <v>749</v>
      </c>
      <c r="C362" t="s">
        <v>686</v>
      </c>
      <c r="D362" t="s">
        <v>687</v>
      </c>
      <c r="E362">
        <v>11</v>
      </c>
      <c r="F362">
        <v>10990</v>
      </c>
      <c r="G362">
        <f t="shared" si="16"/>
        <v>120890</v>
      </c>
      <c r="H362">
        <f t="shared" si="15"/>
        <v>-120879</v>
      </c>
      <c r="I362">
        <f>_xlfn.XLOOKUP(A362,'[1]Forecast 2026'!$A:$A,'[1]Forecast 2026'!$AJ:$AJ,"NA",0,1)</f>
        <v>11</v>
      </c>
      <c r="J362">
        <f t="shared" si="17"/>
        <v>0</v>
      </c>
    </row>
    <row r="363" spans="1:10" x14ac:dyDescent="0.35">
      <c r="A363" t="s">
        <v>750</v>
      </c>
      <c r="B363" t="s">
        <v>751</v>
      </c>
      <c r="C363" t="s">
        <v>686</v>
      </c>
      <c r="D363" t="s">
        <v>687</v>
      </c>
      <c r="E363">
        <v>25</v>
      </c>
      <c r="F363">
        <v>29990</v>
      </c>
      <c r="G363">
        <f t="shared" si="16"/>
        <v>749750</v>
      </c>
      <c r="H363">
        <f t="shared" si="15"/>
        <v>-749725</v>
      </c>
      <c r="I363">
        <f>_xlfn.XLOOKUP(A363,'[1]Forecast 2026'!$A:$A,'[1]Forecast 2026'!$AJ:$AJ,"NA",0,1)</f>
        <v>0</v>
      </c>
      <c r="J363">
        <f t="shared" si="17"/>
        <v>25</v>
      </c>
    </row>
    <row r="364" spans="1:10" hidden="1" x14ac:dyDescent="0.35">
      <c r="A364" t="s">
        <v>752</v>
      </c>
      <c r="B364" t="s">
        <v>753</v>
      </c>
      <c r="C364" t="s">
        <v>686</v>
      </c>
      <c r="D364" t="s">
        <v>687</v>
      </c>
      <c r="E364">
        <v>0</v>
      </c>
      <c r="F364">
        <v>16990</v>
      </c>
      <c r="G364">
        <f t="shared" si="16"/>
        <v>0</v>
      </c>
      <c r="H364">
        <f t="shared" si="15"/>
        <v>0</v>
      </c>
      <c r="I364">
        <f>_xlfn.XLOOKUP(A364,'[1]Forecast 2026'!$A:$A,'[1]Forecast 2026'!$AJ:$AJ,"NA",0,1)</f>
        <v>0</v>
      </c>
      <c r="J364">
        <f t="shared" si="17"/>
        <v>0</v>
      </c>
    </row>
    <row r="365" spans="1:10" hidden="1" x14ac:dyDescent="0.35">
      <c r="A365" t="s">
        <v>754</v>
      </c>
      <c r="B365" t="s">
        <v>755</v>
      </c>
      <c r="C365" t="s">
        <v>686</v>
      </c>
      <c r="D365" t="s">
        <v>687</v>
      </c>
      <c r="E365">
        <v>0</v>
      </c>
      <c r="F365">
        <v>9990</v>
      </c>
      <c r="G365">
        <f t="shared" si="16"/>
        <v>0</v>
      </c>
      <c r="H365">
        <f t="shared" si="15"/>
        <v>0</v>
      </c>
      <c r="I365">
        <f>_xlfn.XLOOKUP(A365,'[1]Forecast 2026'!$A:$A,'[1]Forecast 2026'!$AJ:$AJ,"NA",0,1)</f>
        <v>0</v>
      </c>
      <c r="J365">
        <f t="shared" si="17"/>
        <v>0</v>
      </c>
    </row>
    <row r="366" spans="1:10" hidden="1" x14ac:dyDescent="0.35">
      <c r="A366" t="s">
        <v>756</v>
      </c>
      <c r="B366" t="s">
        <v>757</v>
      </c>
      <c r="C366" t="s">
        <v>686</v>
      </c>
      <c r="D366" t="s">
        <v>687</v>
      </c>
      <c r="E366">
        <v>0</v>
      </c>
      <c r="F366">
        <v>18990</v>
      </c>
      <c r="G366">
        <f t="shared" si="16"/>
        <v>0</v>
      </c>
      <c r="H366">
        <f t="shared" si="15"/>
        <v>0</v>
      </c>
      <c r="I366">
        <f>_xlfn.XLOOKUP(A366,'[1]Forecast 2026'!$A:$A,'[1]Forecast 2026'!$AJ:$AJ,"NA",0,1)</f>
        <v>0</v>
      </c>
      <c r="J366">
        <f t="shared" si="17"/>
        <v>0</v>
      </c>
    </row>
    <row r="367" spans="1:10" hidden="1" x14ac:dyDescent="0.35">
      <c r="A367" t="s">
        <v>758</v>
      </c>
      <c r="B367" t="s">
        <v>759</v>
      </c>
      <c r="C367" t="s">
        <v>686</v>
      </c>
      <c r="D367" t="s">
        <v>687</v>
      </c>
      <c r="E367">
        <v>0</v>
      </c>
      <c r="F367">
        <v>7990</v>
      </c>
      <c r="G367">
        <f t="shared" si="16"/>
        <v>0</v>
      </c>
      <c r="H367">
        <f t="shared" si="15"/>
        <v>0</v>
      </c>
      <c r="I367">
        <f>_xlfn.XLOOKUP(A367,'[1]Forecast 2026'!$A:$A,'[1]Forecast 2026'!$AJ:$AJ,"NA",0,1)</f>
        <v>0</v>
      </c>
      <c r="J367">
        <f t="shared" si="17"/>
        <v>0</v>
      </c>
    </row>
    <row r="368" spans="1:10" hidden="1" x14ac:dyDescent="0.35">
      <c r="A368" t="s">
        <v>760</v>
      </c>
      <c r="B368" t="s">
        <v>761</v>
      </c>
      <c r="C368" t="s">
        <v>686</v>
      </c>
      <c r="D368" t="s">
        <v>687</v>
      </c>
      <c r="E368">
        <v>6</v>
      </c>
      <c r="F368">
        <v>32990</v>
      </c>
      <c r="G368">
        <f t="shared" si="16"/>
        <v>197940</v>
      </c>
      <c r="H368">
        <f t="shared" si="15"/>
        <v>-197934</v>
      </c>
      <c r="I368">
        <f>_xlfn.XLOOKUP(A368,'[1]Forecast 2026'!$A:$A,'[1]Forecast 2026'!$AJ:$AJ,"NA",0,1)</f>
        <v>6</v>
      </c>
      <c r="J368">
        <f t="shared" si="17"/>
        <v>0</v>
      </c>
    </row>
    <row r="369" spans="1:10" hidden="1" x14ac:dyDescent="0.35">
      <c r="A369" t="s">
        <v>762</v>
      </c>
      <c r="B369" t="s">
        <v>763</v>
      </c>
      <c r="C369" t="s">
        <v>686</v>
      </c>
      <c r="D369" t="s">
        <v>687</v>
      </c>
      <c r="E369">
        <v>11</v>
      </c>
      <c r="F369">
        <v>34990</v>
      </c>
      <c r="G369">
        <f t="shared" si="16"/>
        <v>384890</v>
      </c>
      <c r="H369">
        <f t="shared" si="15"/>
        <v>-384879</v>
      </c>
      <c r="I369">
        <f>_xlfn.XLOOKUP(A369,'[1]Forecast 2026'!$A:$A,'[1]Forecast 2026'!$AJ:$AJ,"NA",0,1)</f>
        <v>11</v>
      </c>
      <c r="J369">
        <f t="shared" si="17"/>
        <v>0</v>
      </c>
    </row>
    <row r="370" spans="1:10" hidden="1" x14ac:dyDescent="0.35">
      <c r="A370" t="s">
        <v>764</v>
      </c>
      <c r="B370" t="s">
        <v>765</v>
      </c>
      <c r="C370" t="s">
        <v>686</v>
      </c>
      <c r="D370" t="s">
        <v>687</v>
      </c>
      <c r="E370">
        <v>0</v>
      </c>
      <c r="F370">
        <v>16990</v>
      </c>
      <c r="G370">
        <f t="shared" si="16"/>
        <v>0</v>
      </c>
      <c r="H370">
        <f t="shared" si="15"/>
        <v>0</v>
      </c>
      <c r="I370">
        <f>_xlfn.XLOOKUP(A370,'[1]Forecast 2026'!$A:$A,'[1]Forecast 2026'!$AJ:$AJ,"NA",0,1)</f>
        <v>0</v>
      </c>
      <c r="J370">
        <f t="shared" si="17"/>
        <v>0</v>
      </c>
    </row>
    <row r="371" spans="1:10" hidden="1" x14ac:dyDescent="0.35">
      <c r="A371" t="s">
        <v>766</v>
      </c>
      <c r="B371" t="s">
        <v>767</v>
      </c>
      <c r="C371" t="s">
        <v>686</v>
      </c>
      <c r="D371" t="s">
        <v>687</v>
      </c>
      <c r="E371">
        <v>1</v>
      </c>
      <c r="F371">
        <v>0</v>
      </c>
      <c r="G371">
        <f t="shared" si="16"/>
        <v>0</v>
      </c>
      <c r="H371">
        <f t="shared" si="15"/>
        <v>1</v>
      </c>
      <c r="I371">
        <f>_xlfn.XLOOKUP(A371,'[1]Forecast 2026'!$A:$A,'[1]Forecast 2026'!$AJ:$AJ,"NA",0,1)</f>
        <v>1</v>
      </c>
      <c r="J371">
        <f t="shared" si="17"/>
        <v>0</v>
      </c>
    </row>
    <row r="372" spans="1:10" hidden="1" x14ac:dyDescent="0.35">
      <c r="A372" t="s">
        <v>768</v>
      </c>
      <c r="B372" t="s">
        <v>769</v>
      </c>
      <c r="C372" t="s">
        <v>686</v>
      </c>
      <c r="D372" t="s">
        <v>687</v>
      </c>
      <c r="E372">
        <v>0</v>
      </c>
      <c r="F372">
        <v>59990</v>
      </c>
      <c r="G372">
        <f t="shared" si="16"/>
        <v>0</v>
      </c>
      <c r="H372">
        <f t="shared" si="15"/>
        <v>0</v>
      </c>
      <c r="I372">
        <f>_xlfn.XLOOKUP(A372,'[1]Forecast 2026'!$A:$A,'[1]Forecast 2026'!$AJ:$AJ,"NA",0,1)</f>
        <v>0</v>
      </c>
      <c r="J372">
        <f t="shared" si="17"/>
        <v>0</v>
      </c>
    </row>
    <row r="373" spans="1:10" hidden="1" x14ac:dyDescent="0.35">
      <c r="A373" t="s">
        <v>770</v>
      </c>
      <c r="B373" t="s">
        <v>771</v>
      </c>
      <c r="C373" t="s">
        <v>686</v>
      </c>
      <c r="D373" t="s">
        <v>687</v>
      </c>
      <c r="E373">
        <v>0</v>
      </c>
      <c r="F373">
        <v>12990</v>
      </c>
      <c r="G373">
        <f t="shared" si="16"/>
        <v>0</v>
      </c>
      <c r="H373">
        <f t="shared" si="15"/>
        <v>0</v>
      </c>
      <c r="I373">
        <f>_xlfn.XLOOKUP(A373,'[1]Forecast 2026'!$A:$A,'[1]Forecast 2026'!$AJ:$AJ,"NA",0,1)</f>
        <v>0</v>
      </c>
      <c r="J373">
        <f t="shared" si="17"/>
        <v>0</v>
      </c>
    </row>
    <row r="374" spans="1:10" hidden="1" x14ac:dyDescent="0.35">
      <c r="A374" t="s">
        <v>772</v>
      </c>
      <c r="B374" t="s">
        <v>773</v>
      </c>
      <c r="C374" t="s">
        <v>686</v>
      </c>
      <c r="D374" t="s">
        <v>687</v>
      </c>
      <c r="E374">
        <v>30</v>
      </c>
      <c r="F374">
        <v>29990</v>
      </c>
      <c r="G374">
        <f t="shared" si="16"/>
        <v>899700</v>
      </c>
      <c r="H374">
        <f t="shared" si="15"/>
        <v>-899670</v>
      </c>
      <c r="I374">
        <f>_xlfn.XLOOKUP(A374,'[1]Forecast 2026'!$A:$A,'[1]Forecast 2026'!$AJ:$AJ,"NA",0,1)</f>
        <v>30</v>
      </c>
      <c r="J374">
        <f t="shared" si="17"/>
        <v>0</v>
      </c>
    </row>
    <row r="375" spans="1:10" hidden="1" x14ac:dyDescent="0.35">
      <c r="A375" t="s">
        <v>774</v>
      </c>
      <c r="B375" t="s">
        <v>775</v>
      </c>
      <c r="C375" t="s">
        <v>686</v>
      </c>
      <c r="D375" t="s">
        <v>687</v>
      </c>
      <c r="E375">
        <v>0</v>
      </c>
      <c r="F375">
        <v>14990</v>
      </c>
      <c r="G375">
        <f t="shared" si="16"/>
        <v>0</v>
      </c>
      <c r="H375">
        <f t="shared" si="15"/>
        <v>0</v>
      </c>
      <c r="I375">
        <f>_xlfn.XLOOKUP(A375,'[1]Forecast 2026'!$A:$A,'[1]Forecast 2026'!$AJ:$AJ,"NA",0,1)</f>
        <v>0</v>
      </c>
      <c r="J375">
        <f t="shared" si="17"/>
        <v>0</v>
      </c>
    </row>
    <row r="376" spans="1:10" hidden="1" x14ac:dyDescent="0.35">
      <c r="A376" t="s">
        <v>776</v>
      </c>
      <c r="B376" t="s">
        <v>777</v>
      </c>
      <c r="C376" t="s">
        <v>686</v>
      </c>
      <c r="D376" t="s">
        <v>687</v>
      </c>
      <c r="E376">
        <v>10</v>
      </c>
      <c r="F376">
        <v>14990</v>
      </c>
      <c r="G376">
        <f t="shared" si="16"/>
        <v>149900</v>
      </c>
      <c r="H376">
        <f t="shared" si="15"/>
        <v>-149890</v>
      </c>
      <c r="I376">
        <f>_xlfn.XLOOKUP(A376,'[1]Forecast 2026'!$A:$A,'[1]Forecast 2026'!$AJ:$AJ,"NA",0,1)</f>
        <v>10</v>
      </c>
      <c r="J376">
        <f t="shared" si="17"/>
        <v>0</v>
      </c>
    </row>
    <row r="377" spans="1:10" hidden="1" x14ac:dyDescent="0.35">
      <c r="A377" t="s">
        <v>778</v>
      </c>
      <c r="B377" t="s">
        <v>779</v>
      </c>
      <c r="C377" t="s">
        <v>686</v>
      </c>
      <c r="D377" t="s">
        <v>687</v>
      </c>
      <c r="E377">
        <v>92</v>
      </c>
      <c r="F377">
        <v>2990</v>
      </c>
      <c r="G377">
        <f t="shared" si="16"/>
        <v>275080</v>
      </c>
      <c r="H377">
        <f t="shared" si="15"/>
        <v>-274988</v>
      </c>
      <c r="I377">
        <f>_xlfn.XLOOKUP(A377,'[1]Forecast 2026'!$A:$A,'[1]Forecast 2026'!$AJ:$AJ,"NA",0,1)</f>
        <v>92</v>
      </c>
      <c r="J377">
        <f t="shared" si="17"/>
        <v>0</v>
      </c>
    </row>
    <row r="378" spans="1:10" hidden="1" x14ac:dyDescent="0.35">
      <c r="A378" t="s">
        <v>780</v>
      </c>
      <c r="B378" t="s">
        <v>781</v>
      </c>
      <c r="C378" t="s">
        <v>686</v>
      </c>
      <c r="D378" t="s">
        <v>687</v>
      </c>
      <c r="E378">
        <v>2</v>
      </c>
      <c r="F378">
        <v>19990</v>
      </c>
      <c r="G378">
        <f t="shared" si="16"/>
        <v>39980</v>
      </c>
      <c r="H378">
        <f t="shared" si="15"/>
        <v>-39978</v>
      </c>
      <c r="I378">
        <f>_xlfn.XLOOKUP(A378,'[1]Forecast 2026'!$A:$A,'[1]Forecast 2026'!$AJ:$AJ,"NA",0,1)</f>
        <v>2</v>
      </c>
      <c r="J378">
        <f t="shared" si="17"/>
        <v>0</v>
      </c>
    </row>
    <row r="379" spans="1:10" hidden="1" x14ac:dyDescent="0.35">
      <c r="A379" t="s">
        <v>782</v>
      </c>
      <c r="B379" t="s">
        <v>783</v>
      </c>
      <c r="C379" t="s">
        <v>784</v>
      </c>
      <c r="D379" t="s">
        <v>785</v>
      </c>
      <c r="E379">
        <v>0</v>
      </c>
      <c r="F379">
        <v>24990</v>
      </c>
      <c r="G379">
        <f t="shared" si="16"/>
        <v>0</v>
      </c>
      <c r="H379">
        <f t="shared" si="15"/>
        <v>0</v>
      </c>
      <c r="I379">
        <f>_xlfn.XLOOKUP(A379,'[1]Forecast 2026'!$A:$A,'[1]Forecast 2026'!$AJ:$AJ,"NA",0,1)</f>
        <v>0</v>
      </c>
      <c r="J379">
        <f t="shared" si="17"/>
        <v>0</v>
      </c>
    </row>
    <row r="380" spans="1:10" hidden="1" x14ac:dyDescent="0.35">
      <c r="A380" t="s">
        <v>786</v>
      </c>
      <c r="B380" t="s">
        <v>787</v>
      </c>
      <c r="C380" t="s">
        <v>784</v>
      </c>
      <c r="D380" t="s">
        <v>785</v>
      </c>
      <c r="E380">
        <v>0</v>
      </c>
      <c r="F380">
        <v>14990</v>
      </c>
      <c r="G380">
        <f t="shared" si="16"/>
        <v>0</v>
      </c>
      <c r="H380">
        <f t="shared" si="15"/>
        <v>0</v>
      </c>
      <c r="I380">
        <f>_xlfn.XLOOKUP(A380,'[1]Forecast 2026'!$A:$A,'[1]Forecast 2026'!$AJ:$AJ,"NA",0,1)</f>
        <v>0</v>
      </c>
      <c r="J380">
        <f t="shared" si="17"/>
        <v>0</v>
      </c>
    </row>
    <row r="381" spans="1:10" hidden="1" x14ac:dyDescent="0.35">
      <c r="A381" t="s">
        <v>788</v>
      </c>
      <c r="B381" t="s">
        <v>789</v>
      </c>
      <c r="C381" t="s">
        <v>784</v>
      </c>
      <c r="D381" t="s">
        <v>687</v>
      </c>
      <c r="E381">
        <v>1</v>
      </c>
      <c r="F381">
        <v>2990</v>
      </c>
      <c r="G381">
        <f t="shared" si="16"/>
        <v>2990</v>
      </c>
      <c r="H381">
        <f t="shared" si="15"/>
        <v>-2989</v>
      </c>
      <c r="I381">
        <f>_xlfn.XLOOKUP(A381,'[1]Forecast 2026'!$A:$A,'[1]Forecast 2026'!$AJ:$AJ,"NA",0,1)</f>
        <v>1</v>
      </c>
      <c r="J381">
        <f t="shared" si="17"/>
        <v>0</v>
      </c>
    </row>
    <row r="382" spans="1:10" hidden="1" x14ac:dyDescent="0.35">
      <c r="A382" t="s">
        <v>790</v>
      </c>
      <c r="B382" t="s">
        <v>791</v>
      </c>
      <c r="C382" t="s">
        <v>784</v>
      </c>
      <c r="D382" t="s">
        <v>687</v>
      </c>
      <c r="E382">
        <v>0</v>
      </c>
      <c r="F382">
        <v>3990</v>
      </c>
      <c r="G382">
        <f t="shared" si="16"/>
        <v>0</v>
      </c>
      <c r="H382">
        <f t="shared" si="15"/>
        <v>0</v>
      </c>
      <c r="I382">
        <f>_xlfn.XLOOKUP(A382,'[1]Forecast 2026'!$A:$A,'[1]Forecast 2026'!$AJ:$AJ,"NA",0,1)</f>
        <v>0</v>
      </c>
      <c r="J382">
        <f t="shared" si="17"/>
        <v>0</v>
      </c>
    </row>
    <row r="383" spans="1:10" hidden="1" x14ac:dyDescent="0.35">
      <c r="A383" t="s">
        <v>792</v>
      </c>
      <c r="B383" t="s">
        <v>793</v>
      </c>
      <c r="C383" t="s">
        <v>784</v>
      </c>
      <c r="D383" t="s">
        <v>677</v>
      </c>
      <c r="E383">
        <v>0</v>
      </c>
      <c r="F383">
        <v>29990</v>
      </c>
      <c r="G383">
        <f t="shared" si="16"/>
        <v>0</v>
      </c>
      <c r="H383">
        <f t="shared" si="15"/>
        <v>0</v>
      </c>
      <c r="I383">
        <f>_xlfn.XLOOKUP(A383,'[1]Forecast 2026'!$A:$A,'[1]Forecast 2026'!$AJ:$AJ,"NA",0,1)</f>
        <v>0</v>
      </c>
      <c r="J383">
        <f t="shared" si="17"/>
        <v>0</v>
      </c>
    </row>
    <row r="384" spans="1:10" hidden="1" x14ac:dyDescent="0.35">
      <c r="A384" t="s">
        <v>794</v>
      </c>
      <c r="B384" t="s">
        <v>795</v>
      </c>
      <c r="C384" t="s">
        <v>784</v>
      </c>
      <c r="D384" t="s">
        <v>796</v>
      </c>
      <c r="E384">
        <v>36</v>
      </c>
      <c r="F384">
        <v>6990</v>
      </c>
      <c r="G384">
        <f t="shared" si="16"/>
        <v>251640</v>
      </c>
      <c r="H384">
        <f t="shared" si="15"/>
        <v>-251604</v>
      </c>
      <c r="I384">
        <f>_xlfn.XLOOKUP(A384,'[1]Forecast 2026'!$A:$A,'[1]Forecast 2026'!$AJ:$AJ,"NA",0,1)</f>
        <v>36</v>
      </c>
      <c r="J384">
        <f t="shared" si="17"/>
        <v>0</v>
      </c>
    </row>
    <row r="385" spans="1:10" hidden="1" x14ac:dyDescent="0.35">
      <c r="A385" t="s">
        <v>797</v>
      </c>
      <c r="B385" t="s">
        <v>798</v>
      </c>
      <c r="C385" t="s">
        <v>784</v>
      </c>
      <c r="D385" t="s">
        <v>48</v>
      </c>
      <c r="E385">
        <v>140</v>
      </c>
      <c r="F385">
        <v>9990</v>
      </c>
      <c r="G385">
        <f t="shared" si="16"/>
        <v>1398600</v>
      </c>
      <c r="H385">
        <f t="shared" si="15"/>
        <v>-1398460</v>
      </c>
      <c r="I385">
        <f>_xlfn.XLOOKUP(A385,'[1]Forecast 2026'!$A:$A,'[1]Forecast 2026'!$AJ:$AJ,"NA",0,1)</f>
        <v>140</v>
      </c>
      <c r="J385">
        <f t="shared" si="17"/>
        <v>0</v>
      </c>
    </row>
    <row r="386" spans="1:10" hidden="1" x14ac:dyDescent="0.35">
      <c r="A386" t="s">
        <v>799</v>
      </c>
      <c r="B386" t="s">
        <v>800</v>
      </c>
      <c r="C386" t="s">
        <v>784</v>
      </c>
      <c r="D386" t="s">
        <v>48</v>
      </c>
      <c r="E386">
        <v>0</v>
      </c>
      <c r="F386">
        <v>23990</v>
      </c>
      <c r="G386">
        <f t="shared" si="16"/>
        <v>0</v>
      </c>
      <c r="H386">
        <f t="shared" si="15"/>
        <v>0</v>
      </c>
      <c r="I386">
        <f>_xlfn.XLOOKUP(A386,'[1]Forecast 2026'!$A:$A,'[1]Forecast 2026'!$AJ:$AJ,"NA",0,1)</f>
        <v>0</v>
      </c>
      <c r="J386">
        <f t="shared" si="17"/>
        <v>0</v>
      </c>
    </row>
    <row r="387" spans="1:10" hidden="1" x14ac:dyDescent="0.35">
      <c r="A387" t="s">
        <v>801</v>
      </c>
      <c r="B387" t="s">
        <v>802</v>
      </c>
      <c r="C387" t="s">
        <v>784</v>
      </c>
      <c r="D387" t="s">
        <v>48</v>
      </c>
      <c r="E387">
        <v>20</v>
      </c>
      <c r="F387">
        <v>16990</v>
      </c>
      <c r="G387">
        <f t="shared" si="16"/>
        <v>339800</v>
      </c>
      <c r="H387">
        <f t="shared" ref="H387:H450" si="18">E387-G387</f>
        <v>-339780</v>
      </c>
      <c r="I387">
        <f>_xlfn.XLOOKUP(A387,'[1]Forecast 2026'!$A:$A,'[1]Forecast 2026'!$AJ:$AJ,"NA",0,1)</f>
        <v>20</v>
      </c>
      <c r="J387">
        <f t="shared" si="17"/>
        <v>0</v>
      </c>
    </row>
    <row r="388" spans="1:10" hidden="1" x14ac:dyDescent="0.35">
      <c r="A388" t="s">
        <v>803</v>
      </c>
      <c r="B388" t="s">
        <v>804</v>
      </c>
      <c r="C388" t="s">
        <v>784</v>
      </c>
      <c r="D388" t="s">
        <v>48</v>
      </c>
      <c r="E388">
        <v>30</v>
      </c>
      <c r="F388">
        <v>16990</v>
      </c>
      <c r="G388">
        <f t="shared" ref="G388:G451" si="19">F388*E388</f>
        <v>509700</v>
      </c>
      <c r="H388">
        <f t="shared" si="18"/>
        <v>-509670</v>
      </c>
      <c r="I388">
        <f>_xlfn.XLOOKUP(A388,'[1]Forecast 2026'!$A:$A,'[1]Forecast 2026'!$AJ:$AJ,"NA",0,1)</f>
        <v>30</v>
      </c>
      <c r="J388">
        <f t="shared" ref="J388:J451" si="20">IFERROR(E388-I388,"")</f>
        <v>0</v>
      </c>
    </row>
    <row r="389" spans="1:10" hidden="1" x14ac:dyDescent="0.35">
      <c r="A389" t="s">
        <v>805</v>
      </c>
      <c r="B389" t="s">
        <v>806</v>
      </c>
      <c r="C389" t="s">
        <v>784</v>
      </c>
      <c r="D389" t="s">
        <v>48</v>
      </c>
      <c r="E389">
        <v>0</v>
      </c>
      <c r="F389">
        <v>12990</v>
      </c>
      <c r="G389">
        <f t="shared" si="19"/>
        <v>0</v>
      </c>
      <c r="H389">
        <f t="shared" si="18"/>
        <v>0</v>
      </c>
      <c r="I389">
        <f>_xlfn.XLOOKUP(A389,'[1]Forecast 2026'!$A:$A,'[1]Forecast 2026'!$AJ:$AJ,"NA",0,1)</f>
        <v>0</v>
      </c>
      <c r="J389">
        <f t="shared" si="20"/>
        <v>0</v>
      </c>
    </row>
    <row r="390" spans="1:10" hidden="1" x14ac:dyDescent="0.35">
      <c r="A390" t="s">
        <v>807</v>
      </c>
      <c r="B390" t="s">
        <v>808</v>
      </c>
      <c r="C390" t="s">
        <v>784</v>
      </c>
      <c r="D390" t="s">
        <v>11</v>
      </c>
      <c r="E390">
        <v>0</v>
      </c>
      <c r="F390">
        <v>11990</v>
      </c>
      <c r="G390">
        <f t="shared" si="19"/>
        <v>0</v>
      </c>
      <c r="H390">
        <f t="shared" si="18"/>
        <v>0</v>
      </c>
      <c r="I390">
        <f>_xlfn.XLOOKUP(A390,'[1]Forecast 2026'!$A:$A,'[1]Forecast 2026'!$AJ:$AJ,"NA",0,1)</f>
        <v>0</v>
      </c>
      <c r="J390">
        <f t="shared" si="20"/>
        <v>0</v>
      </c>
    </row>
    <row r="391" spans="1:10" hidden="1" x14ac:dyDescent="0.35">
      <c r="A391" t="s">
        <v>809</v>
      </c>
      <c r="B391" t="s">
        <v>810</v>
      </c>
      <c r="C391" t="s">
        <v>784</v>
      </c>
      <c r="D391" t="s">
        <v>11</v>
      </c>
      <c r="E391">
        <v>10</v>
      </c>
      <c r="F391">
        <v>36990</v>
      </c>
      <c r="G391">
        <f t="shared" si="19"/>
        <v>369900</v>
      </c>
      <c r="H391">
        <f t="shared" si="18"/>
        <v>-369890</v>
      </c>
      <c r="I391">
        <f>_xlfn.XLOOKUP(A391,'[1]Forecast 2026'!$A:$A,'[1]Forecast 2026'!$AJ:$AJ,"NA",0,1)</f>
        <v>10</v>
      </c>
      <c r="J391">
        <f t="shared" si="20"/>
        <v>0</v>
      </c>
    </row>
    <row r="392" spans="1:10" hidden="1" x14ac:dyDescent="0.35">
      <c r="A392" t="s">
        <v>811</v>
      </c>
      <c r="B392" t="s">
        <v>812</v>
      </c>
      <c r="C392" t="s">
        <v>784</v>
      </c>
      <c r="D392" t="s">
        <v>11</v>
      </c>
      <c r="E392">
        <v>10</v>
      </c>
      <c r="F392">
        <v>34990</v>
      </c>
      <c r="G392">
        <f t="shared" si="19"/>
        <v>349900</v>
      </c>
      <c r="H392">
        <f t="shared" si="18"/>
        <v>-349890</v>
      </c>
      <c r="I392">
        <f>_xlfn.XLOOKUP(A392,'[1]Forecast 2026'!$A:$A,'[1]Forecast 2026'!$AJ:$AJ,"NA",0,1)</f>
        <v>10</v>
      </c>
      <c r="J392">
        <f t="shared" si="20"/>
        <v>0</v>
      </c>
    </row>
    <row r="393" spans="1:10" hidden="1" x14ac:dyDescent="0.35">
      <c r="A393" t="s">
        <v>813</v>
      </c>
      <c r="B393" t="s">
        <v>814</v>
      </c>
      <c r="C393" t="s">
        <v>784</v>
      </c>
      <c r="D393" t="s">
        <v>11</v>
      </c>
      <c r="E393">
        <v>12</v>
      </c>
      <c r="F393">
        <v>38990</v>
      </c>
      <c r="G393">
        <f t="shared" si="19"/>
        <v>467880</v>
      </c>
      <c r="H393">
        <f t="shared" si="18"/>
        <v>-467868</v>
      </c>
      <c r="I393">
        <f>_xlfn.XLOOKUP(A393,'[1]Forecast 2026'!$A:$A,'[1]Forecast 2026'!$AJ:$AJ,"NA",0,1)</f>
        <v>12</v>
      </c>
      <c r="J393">
        <f t="shared" si="20"/>
        <v>0</v>
      </c>
    </row>
    <row r="394" spans="1:10" hidden="1" x14ac:dyDescent="0.35">
      <c r="A394" t="s">
        <v>815</v>
      </c>
      <c r="B394" t="s">
        <v>816</v>
      </c>
      <c r="C394" t="s">
        <v>784</v>
      </c>
      <c r="D394" t="s">
        <v>48</v>
      </c>
      <c r="E394">
        <v>0</v>
      </c>
      <c r="F394">
        <v>9990</v>
      </c>
      <c r="G394">
        <f t="shared" si="19"/>
        <v>0</v>
      </c>
      <c r="H394">
        <f t="shared" si="18"/>
        <v>0</v>
      </c>
      <c r="I394">
        <f>_xlfn.XLOOKUP(A394,'[1]Forecast 2026'!$A:$A,'[1]Forecast 2026'!$AJ:$AJ,"NA",0,1)</f>
        <v>0</v>
      </c>
      <c r="J394">
        <f t="shared" si="20"/>
        <v>0</v>
      </c>
    </row>
    <row r="395" spans="1:10" hidden="1" x14ac:dyDescent="0.35">
      <c r="A395" t="s">
        <v>817</v>
      </c>
      <c r="B395" t="s">
        <v>818</v>
      </c>
      <c r="C395" t="s">
        <v>784</v>
      </c>
      <c r="D395" t="s">
        <v>48</v>
      </c>
      <c r="E395">
        <v>0</v>
      </c>
      <c r="F395">
        <v>11990</v>
      </c>
      <c r="G395">
        <f t="shared" si="19"/>
        <v>0</v>
      </c>
      <c r="H395">
        <f t="shared" si="18"/>
        <v>0</v>
      </c>
      <c r="I395">
        <f>_xlfn.XLOOKUP(A395,'[1]Forecast 2026'!$A:$A,'[1]Forecast 2026'!$AJ:$AJ,"NA",0,1)</f>
        <v>0</v>
      </c>
      <c r="J395">
        <f t="shared" si="20"/>
        <v>0</v>
      </c>
    </row>
    <row r="396" spans="1:10" hidden="1" x14ac:dyDescent="0.35">
      <c r="A396" t="s">
        <v>819</v>
      </c>
      <c r="B396" t="s">
        <v>820</v>
      </c>
      <c r="C396" t="s">
        <v>784</v>
      </c>
      <c r="D396" t="s">
        <v>48</v>
      </c>
      <c r="E396">
        <v>0</v>
      </c>
      <c r="F396">
        <v>14990</v>
      </c>
      <c r="G396">
        <f t="shared" si="19"/>
        <v>0</v>
      </c>
      <c r="H396">
        <f t="shared" si="18"/>
        <v>0</v>
      </c>
      <c r="I396">
        <f>_xlfn.XLOOKUP(A396,'[1]Forecast 2026'!$A:$A,'[1]Forecast 2026'!$AJ:$AJ,"NA",0,1)</f>
        <v>0</v>
      </c>
      <c r="J396">
        <f t="shared" si="20"/>
        <v>0</v>
      </c>
    </row>
    <row r="397" spans="1:10" hidden="1" x14ac:dyDescent="0.35">
      <c r="A397" t="s">
        <v>821</v>
      </c>
      <c r="B397" t="s">
        <v>822</v>
      </c>
      <c r="C397" t="s">
        <v>784</v>
      </c>
      <c r="D397" t="s">
        <v>14</v>
      </c>
      <c r="E397">
        <v>0</v>
      </c>
      <c r="F397">
        <v>49990</v>
      </c>
      <c r="G397">
        <f t="shared" si="19"/>
        <v>0</v>
      </c>
      <c r="H397">
        <f t="shared" si="18"/>
        <v>0</v>
      </c>
      <c r="I397">
        <f>_xlfn.XLOOKUP(A397,'[1]Forecast 2026'!$A:$A,'[1]Forecast 2026'!$AJ:$AJ,"NA",0,1)</f>
        <v>0</v>
      </c>
      <c r="J397">
        <f t="shared" si="20"/>
        <v>0</v>
      </c>
    </row>
    <row r="398" spans="1:10" hidden="1" x14ac:dyDescent="0.35">
      <c r="A398" t="s">
        <v>823</v>
      </c>
      <c r="B398" t="s">
        <v>824</v>
      </c>
      <c r="C398" t="s">
        <v>784</v>
      </c>
      <c r="D398" t="s">
        <v>48</v>
      </c>
      <c r="E398">
        <v>0</v>
      </c>
      <c r="F398">
        <v>9990</v>
      </c>
      <c r="G398">
        <f t="shared" si="19"/>
        <v>0</v>
      </c>
      <c r="H398">
        <f t="shared" si="18"/>
        <v>0</v>
      </c>
      <c r="I398">
        <f>_xlfn.XLOOKUP(A398,'[1]Forecast 2026'!$A:$A,'[1]Forecast 2026'!$AJ:$AJ,"NA",0,1)</f>
        <v>0</v>
      </c>
      <c r="J398">
        <f t="shared" si="20"/>
        <v>0</v>
      </c>
    </row>
    <row r="399" spans="1:10" hidden="1" x14ac:dyDescent="0.35">
      <c r="A399" t="s">
        <v>825</v>
      </c>
      <c r="B399" t="s">
        <v>826</v>
      </c>
      <c r="C399" t="s">
        <v>784</v>
      </c>
      <c r="D399" t="s">
        <v>48</v>
      </c>
      <c r="E399">
        <v>20</v>
      </c>
      <c r="F399">
        <v>14990</v>
      </c>
      <c r="G399">
        <f t="shared" si="19"/>
        <v>299800</v>
      </c>
      <c r="H399">
        <f t="shared" si="18"/>
        <v>-299780</v>
      </c>
      <c r="I399">
        <f>_xlfn.XLOOKUP(A399,'[1]Forecast 2026'!$A:$A,'[1]Forecast 2026'!$AJ:$AJ,"NA",0,1)</f>
        <v>20</v>
      </c>
      <c r="J399">
        <f t="shared" si="20"/>
        <v>0</v>
      </c>
    </row>
    <row r="400" spans="1:10" hidden="1" x14ac:dyDescent="0.35">
      <c r="A400" t="s">
        <v>827</v>
      </c>
      <c r="B400" t="s">
        <v>828</v>
      </c>
      <c r="C400" t="s">
        <v>784</v>
      </c>
      <c r="D400" t="s">
        <v>829</v>
      </c>
      <c r="E400">
        <v>19</v>
      </c>
      <c r="F400">
        <v>27990</v>
      </c>
      <c r="G400">
        <f t="shared" si="19"/>
        <v>531810</v>
      </c>
      <c r="H400">
        <f t="shared" si="18"/>
        <v>-531791</v>
      </c>
      <c r="I400">
        <f>_xlfn.XLOOKUP(A400,'[1]Forecast 2026'!$A:$A,'[1]Forecast 2026'!$AJ:$AJ,"NA",0,1)</f>
        <v>19</v>
      </c>
      <c r="J400">
        <f t="shared" si="20"/>
        <v>0</v>
      </c>
    </row>
    <row r="401" spans="1:10" hidden="1" x14ac:dyDescent="0.35">
      <c r="A401" t="s">
        <v>830</v>
      </c>
      <c r="B401" t="s">
        <v>831</v>
      </c>
      <c r="C401" t="s">
        <v>784</v>
      </c>
      <c r="D401" t="s">
        <v>11</v>
      </c>
      <c r="E401">
        <v>0</v>
      </c>
      <c r="F401">
        <v>7990</v>
      </c>
      <c r="G401">
        <f t="shared" si="19"/>
        <v>0</v>
      </c>
      <c r="H401">
        <f t="shared" si="18"/>
        <v>0</v>
      </c>
      <c r="I401">
        <f>_xlfn.XLOOKUP(A401,'[1]Forecast 2026'!$A:$A,'[1]Forecast 2026'!$AJ:$AJ,"NA",0,1)</f>
        <v>0</v>
      </c>
      <c r="J401">
        <f t="shared" si="20"/>
        <v>0</v>
      </c>
    </row>
    <row r="402" spans="1:10" hidden="1" x14ac:dyDescent="0.35">
      <c r="A402" t="s">
        <v>832</v>
      </c>
      <c r="B402" t="s">
        <v>833</v>
      </c>
      <c r="C402" t="s">
        <v>784</v>
      </c>
      <c r="D402" t="s">
        <v>45</v>
      </c>
      <c r="E402">
        <v>8</v>
      </c>
      <c r="F402">
        <v>0</v>
      </c>
      <c r="G402">
        <f t="shared" si="19"/>
        <v>0</v>
      </c>
      <c r="H402">
        <f t="shared" si="18"/>
        <v>8</v>
      </c>
      <c r="I402">
        <f>_xlfn.XLOOKUP(A402,'[1]Forecast 2026'!$A:$A,'[1]Forecast 2026'!$AJ:$AJ,"NA",0,1)</f>
        <v>8</v>
      </c>
      <c r="J402">
        <f t="shared" si="20"/>
        <v>0</v>
      </c>
    </row>
    <row r="403" spans="1:10" hidden="1" x14ac:dyDescent="0.35">
      <c r="A403" t="s">
        <v>834</v>
      </c>
      <c r="B403" t="s">
        <v>835</v>
      </c>
      <c r="C403" t="s">
        <v>784</v>
      </c>
      <c r="D403" t="s">
        <v>48</v>
      </c>
      <c r="E403">
        <v>0</v>
      </c>
      <c r="F403">
        <v>9990</v>
      </c>
      <c r="G403">
        <f t="shared" si="19"/>
        <v>0</v>
      </c>
      <c r="H403">
        <f t="shared" si="18"/>
        <v>0</v>
      </c>
      <c r="I403">
        <f>_xlfn.XLOOKUP(A403,'[1]Forecast 2026'!$A:$A,'[1]Forecast 2026'!$AJ:$AJ,"NA",0,1)</f>
        <v>0</v>
      </c>
      <c r="J403">
        <f t="shared" si="20"/>
        <v>0</v>
      </c>
    </row>
    <row r="404" spans="1:10" hidden="1" x14ac:dyDescent="0.35">
      <c r="A404" t="s">
        <v>836</v>
      </c>
      <c r="B404" t="s">
        <v>837</v>
      </c>
      <c r="C404" t="s">
        <v>784</v>
      </c>
      <c r="D404" t="s">
        <v>48</v>
      </c>
      <c r="E404">
        <v>0</v>
      </c>
      <c r="F404">
        <v>47990</v>
      </c>
      <c r="G404">
        <f t="shared" si="19"/>
        <v>0</v>
      </c>
      <c r="H404">
        <f t="shared" si="18"/>
        <v>0</v>
      </c>
      <c r="I404">
        <f>_xlfn.XLOOKUP(A404,'[1]Forecast 2026'!$A:$A,'[1]Forecast 2026'!$AJ:$AJ,"NA",0,1)</f>
        <v>0</v>
      </c>
      <c r="J404">
        <f t="shared" si="20"/>
        <v>0</v>
      </c>
    </row>
    <row r="405" spans="1:10" hidden="1" x14ac:dyDescent="0.35">
      <c r="A405" t="s">
        <v>838</v>
      </c>
      <c r="B405" t="s">
        <v>839</v>
      </c>
      <c r="C405" t="s">
        <v>784</v>
      </c>
      <c r="D405" t="s">
        <v>48</v>
      </c>
      <c r="E405">
        <v>82</v>
      </c>
      <c r="F405">
        <v>12990</v>
      </c>
      <c r="G405">
        <f t="shared" si="19"/>
        <v>1065180</v>
      </c>
      <c r="H405">
        <f t="shared" si="18"/>
        <v>-1065098</v>
      </c>
      <c r="I405">
        <f>_xlfn.XLOOKUP(A405,'[1]Forecast 2026'!$A:$A,'[1]Forecast 2026'!$AJ:$AJ,"NA",0,1)</f>
        <v>82</v>
      </c>
      <c r="J405">
        <f t="shared" si="20"/>
        <v>0</v>
      </c>
    </row>
    <row r="406" spans="1:10" hidden="1" x14ac:dyDescent="0.35">
      <c r="A406" t="s">
        <v>840</v>
      </c>
      <c r="B406" t="s">
        <v>841</v>
      </c>
      <c r="C406" t="s">
        <v>784</v>
      </c>
      <c r="D406" t="s">
        <v>597</v>
      </c>
      <c r="E406">
        <v>0</v>
      </c>
      <c r="F406">
        <v>29990</v>
      </c>
      <c r="G406">
        <f t="shared" si="19"/>
        <v>0</v>
      </c>
      <c r="H406">
        <f t="shared" si="18"/>
        <v>0</v>
      </c>
      <c r="I406">
        <f>_xlfn.XLOOKUP(A406,'[1]Forecast 2026'!$A:$A,'[1]Forecast 2026'!$AJ:$AJ,"NA",0,1)</f>
        <v>0</v>
      </c>
      <c r="J406">
        <f t="shared" si="20"/>
        <v>0</v>
      </c>
    </row>
    <row r="407" spans="1:10" hidden="1" x14ac:dyDescent="0.35">
      <c r="A407" t="s">
        <v>842</v>
      </c>
      <c r="B407" t="s">
        <v>843</v>
      </c>
      <c r="C407" t="s">
        <v>784</v>
      </c>
      <c r="D407" t="s">
        <v>48</v>
      </c>
      <c r="E407">
        <v>0</v>
      </c>
      <c r="F407">
        <v>39990</v>
      </c>
      <c r="G407">
        <f t="shared" si="19"/>
        <v>0</v>
      </c>
      <c r="H407">
        <f t="shared" si="18"/>
        <v>0</v>
      </c>
      <c r="I407">
        <f>_xlfn.XLOOKUP(A407,'[1]Forecast 2026'!$A:$A,'[1]Forecast 2026'!$AJ:$AJ,"NA",0,1)</f>
        <v>0</v>
      </c>
      <c r="J407">
        <f t="shared" si="20"/>
        <v>0</v>
      </c>
    </row>
    <row r="408" spans="1:10" hidden="1" x14ac:dyDescent="0.35">
      <c r="A408" t="s">
        <v>844</v>
      </c>
      <c r="B408" t="s">
        <v>845</v>
      </c>
      <c r="C408" t="s">
        <v>784</v>
      </c>
      <c r="D408" t="s">
        <v>48</v>
      </c>
      <c r="E408">
        <v>0</v>
      </c>
      <c r="F408">
        <v>12990</v>
      </c>
      <c r="G408">
        <f t="shared" si="19"/>
        <v>0</v>
      </c>
      <c r="H408">
        <f t="shared" si="18"/>
        <v>0</v>
      </c>
      <c r="I408">
        <f>_xlfn.XLOOKUP(A408,'[1]Forecast 2026'!$A:$A,'[1]Forecast 2026'!$AJ:$AJ,"NA",0,1)</f>
        <v>0</v>
      </c>
      <c r="J408">
        <f t="shared" si="20"/>
        <v>0</v>
      </c>
    </row>
    <row r="409" spans="1:10" hidden="1" x14ac:dyDescent="0.35">
      <c r="A409" t="s">
        <v>846</v>
      </c>
      <c r="B409" t="s">
        <v>847</v>
      </c>
      <c r="C409" t="s">
        <v>784</v>
      </c>
      <c r="D409" t="s">
        <v>48</v>
      </c>
      <c r="E409">
        <v>11</v>
      </c>
      <c r="F409">
        <v>14990</v>
      </c>
      <c r="G409">
        <f t="shared" si="19"/>
        <v>164890</v>
      </c>
      <c r="H409">
        <f t="shared" si="18"/>
        <v>-164879</v>
      </c>
      <c r="I409">
        <f>_xlfn.XLOOKUP(A409,'[1]Forecast 2026'!$A:$A,'[1]Forecast 2026'!$AJ:$AJ,"NA",0,1)</f>
        <v>11</v>
      </c>
      <c r="J409">
        <f t="shared" si="20"/>
        <v>0</v>
      </c>
    </row>
    <row r="410" spans="1:10" hidden="1" x14ac:dyDescent="0.35">
      <c r="A410" t="s">
        <v>848</v>
      </c>
      <c r="B410" t="s">
        <v>849</v>
      </c>
      <c r="C410" t="s">
        <v>784</v>
      </c>
      <c r="D410" t="s">
        <v>48</v>
      </c>
      <c r="E410">
        <v>0</v>
      </c>
      <c r="F410">
        <v>6990</v>
      </c>
      <c r="G410">
        <f t="shared" si="19"/>
        <v>0</v>
      </c>
      <c r="H410">
        <f t="shared" si="18"/>
        <v>0</v>
      </c>
      <c r="I410">
        <f>_xlfn.XLOOKUP(A410,'[1]Forecast 2026'!$A:$A,'[1]Forecast 2026'!$AJ:$AJ,"NA",0,1)</f>
        <v>0</v>
      </c>
      <c r="J410">
        <f t="shared" si="20"/>
        <v>0</v>
      </c>
    </row>
    <row r="411" spans="1:10" hidden="1" x14ac:dyDescent="0.35">
      <c r="A411" t="s">
        <v>850</v>
      </c>
      <c r="B411" t="s">
        <v>851</v>
      </c>
      <c r="C411" t="s">
        <v>784</v>
      </c>
      <c r="D411" t="s">
        <v>48</v>
      </c>
      <c r="E411">
        <v>0</v>
      </c>
      <c r="F411">
        <v>74990</v>
      </c>
      <c r="G411">
        <f t="shared" si="19"/>
        <v>0</v>
      </c>
      <c r="H411">
        <f t="shared" si="18"/>
        <v>0</v>
      </c>
      <c r="I411">
        <f>_xlfn.XLOOKUP(A411,'[1]Forecast 2026'!$A:$A,'[1]Forecast 2026'!$AJ:$AJ,"NA",0,1)</f>
        <v>0</v>
      </c>
      <c r="J411">
        <f t="shared" si="20"/>
        <v>0</v>
      </c>
    </row>
    <row r="412" spans="1:10" hidden="1" x14ac:dyDescent="0.35">
      <c r="A412" t="s">
        <v>852</v>
      </c>
      <c r="B412" t="s">
        <v>853</v>
      </c>
      <c r="C412" t="s">
        <v>784</v>
      </c>
      <c r="D412" t="s">
        <v>48</v>
      </c>
      <c r="E412">
        <v>0</v>
      </c>
      <c r="F412">
        <v>79990</v>
      </c>
      <c r="G412">
        <f t="shared" si="19"/>
        <v>0</v>
      </c>
      <c r="H412">
        <f t="shared" si="18"/>
        <v>0</v>
      </c>
      <c r="I412">
        <f>_xlfn.XLOOKUP(A412,'[1]Forecast 2026'!$A:$A,'[1]Forecast 2026'!$AJ:$AJ,"NA",0,1)</f>
        <v>0</v>
      </c>
      <c r="J412">
        <f t="shared" si="20"/>
        <v>0</v>
      </c>
    </row>
    <row r="413" spans="1:10" hidden="1" x14ac:dyDescent="0.35">
      <c r="A413" t="s">
        <v>854</v>
      </c>
      <c r="B413" t="s">
        <v>855</v>
      </c>
      <c r="C413" t="s">
        <v>784</v>
      </c>
      <c r="D413" t="s">
        <v>48</v>
      </c>
      <c r="E413">
        <v>0</v>
      </c>
      <c r="F413">
        <v>29990</v>
      </c>
      <c r="G413">
        <f t="shared" si="19"/>
        <v>0</v>
      </c>
      <c r="H413">
        <f t="shared" si="18"/>
        <v>0</v>
      </c>
      <c r="I413">
        <f>_xlfn.XLOOKUP(A413,'[1]Forecast 2026'!$A:$A,'[1]Forecast 2026'!$AJ:$AJ,"NA",0,1)</f>
        <v>0</v>
      </c>
      <c r="J413">
        <f t="shared" si="20"/>
        <v>0</v>
      </c>
    </row>
    <row r="414" spans="1:10" hidden="1" x14ac:dyDescent="0.35">
      <c r="A414" t="s">
        <v>856</v>
      </c>
      <c r="B414" t="s">
        <v>857</v>
      </c>
      <c r="C414" t="s">
        <v>784</v>
      </c>
      <c r="D414" t="s">
        <v>48</v>
      </c>
      <c r="E414">
        <v>0</v>
      </c>
      <c r="F414">
        <v>0</v>
      </c>
      <c r="G414">
        <f t="shared" si="19"/>
        <v>0</v>
      </c>
      <c r="H414">
        <f t="shared" si="18"/>
        <v>0</v>
      </c>
      <c r="I414">
        <f>_xlfn.XLOOKUP(A414,'[1]Forecast 2026'!$A:$A,'[1]Forecast 2026'!$AJ:$AJ,"NA",0,1)</f>
        <v>0</v>
      </c>
      <c r="J414">
        <f t="shared" si="20"/>
        <v>0</v>
      </c>
    </row>
    <row r="415" spans="1:10" hidden="1" x14ac:dyDescent="0.35">
      <c r="A415" t="s">
        <v>858</v>
      </c>
      <c r="B415" t="s">
        <v>859</v>
      </c>
      <c r="C415" t="s">
        <v>784</v>
      </c>
      <c r="D415" t="s">
        <v>48</v>
      </c>
      <c r="E415">
        <v>0</v>
      </c>
      <c r="F415">
        <v>19990</v>
      </c>
      <c r="G415">
        <f t="shared" si="19"/>
        <v>0</v>
      </c>
      <c r="H415">
        <f t="shared" si="18"/>
        <v>0</v>
      </c>
      <c r="I415">
        <f>_xlfn.XLOOKUP(A415,'[1]Forecast 2026'!$A:$A,'[1]Forecast 2026'!$AJ:$AJ,"NA",0,1)</f>
        <v>0</v>
      </c>
      <c r="J415">
        <f t="shared" si="20"/>
        <v>0</v>
      </c>
    </row>
    <row r="416" spans="1:10" hidden="1" x14ac:dyDescent="0.35">
      <c r="A416" t="s">
        <v>860</v>
      </c>
      <c r="B416" t="s">
        <v>861</v>
      </c>
      <c r="C416" t="s">
        <v>784</v>
      </c>
      <c r="D416" t="s">
        <v>48</v>
      </c>
      <c r="E416">
        <v>15</v>
      </c>
      <c r="F416">
        <v>29990</v>
      </c>
      <c r="G416">
        <f t="shared" si="19"/>
        <v>449850</v>
      </c>
      <c r="H416">
        <f t="shared" si="18"/>
        <v>-449835</v>
      </c>
      <c r="I416">
        <f>_xlfn.XLOOKUP(A416,'[1]Forecast 2026'!$A:$A,'[1]Forecast 2026'!$AJ:$AJ,"NA",0,1)</f>
        <v>15</v>
      </c>
      <c r="J416">
        <f t="shared" si="20"/>
        <v>0</v>
      </c>
    </row>
    <row r="417" spans="1:10" hidden="1" x14ac:dyDescent="0.35">
      <c r="A417" t="s">
        <v>862</v>
      </c>
      <c r="B417" t="s">
        <v>863</v>
      </c>
      <c r="C417" t="s">
        <v>784</v>
      </c>
      <c r="D417" t="s">
        <v>11</v>
      </c>
      <c r="E417">
        <v>2</v>
      </c>
      <c r="F417">
        <v>349990</v>
      </c>
      <c r="G417">
        <f t="shared" si="19"/>
        <v>699980</v>
      </c>
      <c r="H417">
        <f t="shared" si="18"/>
        <v>-699978</v>
      </c>
      <c r="I417">
        <f>_xlfn.XLOOKUP(A417,'[1]Forecast 2026'!$A:$A,'[1]Forecast 2026'!$AJ:$AJ,"NA",0,1)</f>
        <v>2</v>
      </c>
      <c r="J417">
        <f t="shared" si="20"/>
        <v>0</v>
      </c>
    </row>
    <row r="418" spans="1:10" hidden="1" x14ac:dyDescent="0.35">
      <c r="A418" t="s">
        <v>864</v>
      </c>
      <c r="B418" t="s">
        <v>865</v>
      </c>
      <c r="C418" t="s">
        <v>784</v>
      </c>
      <c r="D418" t="s">
        <v>11</v>
      </c>
      <c r="E418">
        <v>0</v>
      </c>
      <c r="F418">
        <v>12990</v>
      </c>
      <c r="G418">
        <f t="shared" si="19"/>
        <v>0</v>
      </c>
      <c r="H418">
        <f t="shared" si="18"/>
        <v>0</v>
      </c>
      <c r="I418">
        <f>_xlfn.XLOOKUP(A418,'[1]Forecast 2026'!$A:$A,'[1]Forecast 2026'!$AJ:$AJ,"NA",0,1)</f>
        <v>0</v>
      </c>
      <c r="J418">
        <f t="shared" si="20"/>
        <v>0</v>
      </c>
    </row>
    <row r="419" spans="1:10" hidden="1" x14ac:dyDescent="0.35">
      <c r="A419" t="s">
        <v>866</v>
      </c>
      <c r="B419" t="s">
        <v>867</v>
      </c>
      <c r="C419" t="s">
        <v>868</v>
      </c>
      <c r="D419" t="s">
        <v>869</v>
      </c>
      <c r="E419">
        <v>0</v>
      </c>
      <c r="F419">
        <v>0</v>
      </c>
      <c r="G419">
        <f t="shared" si="19"/>
        <v>0</v>
      </c>
      <c r="H419">
        <f t="shared" si="18"/>
        <v>0</v>
      </c>
      <c r="I419" t="str">
        <f>_xlfn.XLOOKUP(A419,'[1]Forecast 2026'!$A:$A,'[1]Forecast 2026'!$AJ:$AJ,"NA",0,1)</f>
        <v>NA</v>
      </c>
      <c r="J419" t="str">
        <f t="shared" si="20"/>
        <v/>
      </c>
    </row>
    <row r="420" spans="1:10" hidden="1" x14ac:dyDescent="0.35">
      <c r="A420" t="s">
        <v>870</v>
      </c>
      <c r="B420" t="s">
        <v>871</v>
      </c>
      <c r="C420" t="s">
        <v>868</v>
      </c>
      <c r="D420" t="s">
        <v>48</v>
      </c>
      <c r="E420">
        <v>1</v>
      </c>
      <c r="F420">
        <v>2990</v>
      </c>
      <c r="G420">
        <f t="shared" si="19"/>
        <v>2990</v>
      </c>
      <c r="H420">
        <f t="shared" si="18"/>
        <v>-2989</v>
      </c>
      <c r="I420">
        <f>_xlfn.XLOOKUP(A420,'[1]Forecast 2026'!$A:$A,'[1]Forecast 2026'!$AJ:$AJ,"NA",0,1)</f>
        <v>1</v>
      </c>
      <c r="J420">
        <f t="shared" si="20"/>
        <v>0</v>
      </c>
    </row>
    <row r="421" spans="1:10" hidden="1" x14ac:dyDescent="0.35">
      <c r="A421" t="s">
        <v>872</v>
      </c>
      <c r="B421" t="s">
        <v>873</v>
      </c>
      <c r="C421" t="s">
        <v>868</v>
      </c>
      <c r="D421" t="s">
        <v>869</v>
      </c>
      <c r="E421">
        <v>0</v>
      </c>
      <c r="F421">
        <v>0</v>
      </c>
      <c r="G421">
        <f t="shared" si="19"/>
        <v>0</v>
      </c>
      <c r="H421">
        <f t="shared" si="18"/>
        <v>0</v>
      </c>
      <c r="I421" t="str">
        <f>_xlfn.XLOOKUP(A421,'[1]Forecast 2026'!$A:$A,'[1]Forecast 2026'!$AJ:$AJ,"NA",0,1)</f>
        <v>NA</v>
      </c>
      <c r="J421" t="str">
        <f t="shared" si="20"/>
        <v/>
      </c>
    </row>
    <row r="422" spans="1:10" hidden="1" x14ac:dyDescent="0.35">
      <c r="A422" t="s">
        <v>874</v>
      </c>
      <c r="B422" t="s">
        <v>875</v>
      </c>
      <c r="C422" t="s">
        <v>868</v>
      </c>
      <c r="D422" t="s">
        <v>869</v>
      </c>
      <c r="E422">
        <v>0</v>
      </c>
      <c r="F422">
        <v>0</v>
      </c>
      <c r="G422">
        <f t="shared" si="19"/>
        <v>0</v>
      </c>
      <c r="H422">
        <f t="shared" si="18"/>
        <v>0</v>
      </c>
      <c r="I422" t="str">
        <f>_xlfn.XLOOKUP(A422,'[1]Forecast 2026'!$A:$A,'[1]Forecast 2026'!$AJ:$AJ,"NA",0,1)</f>
        <v>NA</v>
      </c>
      <c r="J422" t="str">
        <f t="shared" si="20"/>
        <v/>
      </c>
    </row>
    <row r="423" spans="1:10" hidden="1" x14ac:dyDescent="0.35">
      <c r="A423" t="s">
        <v>876</v>
      </c>
      <c r="B423" t="s">
        <v>877</v>
      </c>
      <c r="C423" t="s">
        <v>868</v>
      </c>
      <c r="D423" t="s">
        <v>869</v>
      </c>
      <c r="E423">
        <v>0</v>
      </c>
      <c r="F423">
        <v>0</v>
      </c>
      <c r="G423">
        <f t="shared" si="19"/>
        <v>0</v>
      </c>
      <c r="H423">
        <f t="shared" si="18"/>
        <v>0</v>
      </c>
      <c r="I423" t="str">
        <f>_xlfn.XLOOKUP(A423,'[1]Forecast 2026'!$A:$A,'[1]Forecast 2026'!$AJ:$AJ,"NA",0,1)</f>
        <v>NA</v>
      </c>
      <c r="J423" t="str">
        <f t="shared" si="20"/>
        <v/>
      </c>
    </row>
    <row r="424" spans="1:10" hidden="1" x14ac:dyDescent="0.35">
      <c r="A424" t="s">
        <v>878</v>
      </c>
      <c r="B424" t="s">
        <v>879</v>
      </c>
      <c r="C424" t="s">
        <v>868</v>
      </c>
      <c r="D424" t="s">
        <v>869</v>
      </c>
      <c r="E424">
        <v>0</v>
      </c>
      <c r="F424">
        <v>0</v>
      </c>
      <c r="G424">
        <f t="shared" si="19"/>
        <v>0</v>
      </c>
      <c r="H424">
        <f t="shared" si="18"/>
        <v>0</v>
      </c>
      <c r="I424" t="str">
        <f>_xlfn.XLOOKUP(A424,'[1]Forecast 2026'!$A:$A,'[1]Forecast 2026'!$AJ:$AJ,"NA",0,1)</f>
        <v>NA</v>
      </c>
      <c r="J424" t="str">
        <f t="shared" si="20"/>
        <v/>
      </c>
    </row>
    <row r="425" spans="1:10" hidden="1" x14ac:dyDescent="0.35">
      <c r="A425" t="s">
        <v>880</v>
      </c>
      <c r="B425" t="s">
        <v>881</v>
      </c>
      <c r="C425" t="s">
        <v>868</v>
      </c>
      <c r="D425" t="s">
        <v>869</v>
      </c>
      <c r="E425">
        <v>0</v>
      </c>
      <c r="F425">
        <v>0</v>
      </c>
      <c r="G425">
        <f t="shared" si="19"/>
        <v>0</v>
      </c>
      <c r="H425">
        <f t="shared" si="18"/>
        <v>0</v>
      </c>
      <c r="I425" t="str">
        <f>_xlfn.XLOOKUP(A425,'[1]Forecast 2026'!$A:$A,'[1]Forecast 2026'!$AJ:$AJ,"NA",0,1)</f>
        <v>NA</v>
      </c>
      <c r="J425" t="str">
        <f t="shared" si="20"/>
        <v/>
      </c>
    </row>
    <row r="426" spans="1:10" hidden="1" x14ac:dyDescent="0.35">
      <c r="A426" t="s">
        <v>882</v>
      </c>
      <c r="B426" t="s">
        <v>883</v>
      </c>
      <c r="C426" t="s">
        <v>868</v>
      </c>
      <c r="D426" t="s">
        <v>869</v>
      </c>
      <c r="E426">
        <v>0</v>
      </c>
      <c r="F426">
        <v>0</v>
      </c>
      <c r="G426">
        <f t="shared" si="19"/>
        <v>0</v>
      </c>
      <c r="H426">
        <f t="shared" si="18"/>
        <v>0</v>
      </c>
      <c r="I426" t="str">
        <f>_xlfn.XLOOKUP(A426,'[1]Forecast 2026'!$A:$A,'[1]Forecast 2026'!$AJ:$AJ,"NA",0,1)</f>
        <v>NA</v>
      </c>
      <c r="J426" t="str">
        <f t="shared" si="20"/>
        <v/>
      </c>
    </row>
    <row r="427" spans="1:10" hidden="1" x14ac:dyDescent="0.35">
      <c r="A427" t="s">
        <v>884</v>
      </c>
      <c r="B427" t="s">
        <v>885</v>
      </c>
      <c r="C427" t="s">
        <v>868</v>
      </c>
      <c r="D427" t="s">
        <v>869</v>
      </c>
      <c r="E427">
        <v>0</v>
      </c>
      <c r="F427">
        <v>0</v>
      </c>
      <c r="G427">
        <f t="shared" si="19"/>
        <v>0</v>
      </c>
      <c r="H427">
        <f t="shared" si="18"/>
        <v>0</v>
      </c>
      <c r="I427" t="str">
        <f>_xlfn.XLOOKUP(A427,'[1]Forecast 2026'!$A:$A,'[1]Forecast 2026'!$AJ:$AJ,"NA",0,1)</f>
        <v>NA</v>
      </c>
      <c r="J427" t="str">
        <f t="shared" si="20"/>
        <v/>
      </c>
    </row>
    <row r="428" spans="1:10" hidden="1" x14ac:dyDescent="0.35">
      <c r="A428" t="s">
        <v>886</v>
      </c>
      <c r="B428" t="s">
        <v>887</v>
      </c>
      <c r="C428" t="s">
        <v>868</v>
      </c>
      <c r="D428" t="s">
        <v>869</v>
      </c>
      <c r="E428">
        <v>0</v>
      </c>
      <c r="F428">
        <v>0</v>
      </c>
      <c r="G428">
        <f t="shared" si="19"/>
        <v>0</v>
      </c>
      <c r="H428">
        <f t="shared" si="18"/>
        <v>0</v>
      </c>
      <c r="I428" t="str">
        <f>_xlfn.XLOOKUP(A428,'[1]Forecast 2026'!$A:$A,'[1]Forecast 2026'!$AJ:$AJ,"NA",0,1)</f>
        <v>NA</v>
      </c>
      <c r="J428" t="str">
        <f t="shared" si="20"/>
        <v/>
      </c>
    </row>
    <row r="429" spans="1:10" hidden="1" x14ac:dyDescent="0.35">
      <c r="A429" t="s">
        <v>888</v>
      </c>
      <c r="B429" t="s">
        <v>889</v>
      </c>
      <c r="C429" t="s">
        <v>868</v>
      </c>
      <c r="D429" t="s">
        <v>869</v>
      </c>
      <c r="E429">
        <v>0</v>
      </c>
      <c r="F429">
        <v>0</v>
      </c>
      <c r="G429">
        <f t="shared" si="19"/>
        <v>0</v>
      </c>
      <c r="H429">
        <f t="shared" si="18"/>
        <v>0</v>
      </c>
      <c r="I429" t="str">
        <f>_xlfn.XLOOKUP(A429,'[1]Forecast 2026'!$A:$A,'[1]Forecast 2026'!$AJ:$AJ,"NA",0,1)</f>
        <v>NA</v>
      </c>
      <c r="J429" t="str">
        <f t="shared" si="20"/>
        <v/>
      </c>
    </row>
    <row r="430" spans="1:10" hidden="1" x14ac:dyDescent="0.35">
      <c r="A430" t="s">
        <v>890</v>
      </c>
      <c r="B430" t="s">
        <v>891</v>
      </c>
      <c r="C430" t="s">
        <v>868</v>
      </c>
      <c r="D430" t="s">
        <v>48</v>
      </c>
      <c r="E430">
        <v>0</v>
      </c>
      <c r="F430">
        <v>14990</v>
      </c>
      <c r="G430">
        <f t="shared" si="19"/>
        <v>0</v>
      </c>
      <c r="H430">
        <f t="shared" si="18"/>
        <v>0</v>
      </c>
      <c r="I430">
        <f>_xlfn.XLOOKUP(A430,'[1]Forecast 2026'!$A:$A,'[1]Forecast 2026'!$AJ:$AJ,"NA",0,1)</f>
        <v>0</v>
      </c>
      <c r="J430">
        <f t="shared" si="20"/>
        <v>0</v>
      </c>
    </row>
    <row r="431" spans="1:10" hidden="1" x14ac:dyDescent="0.35">
      <c r="A431" t="s">
        <v>892</v>
      </c>
      <c r="B431" t="s">
        <v>893</v>
      </c>
      <c r="C431" t="s">
        <v>868</v>
      </c>
      <c r="D431" t="s">
        <v>869</v>
      </c>
      <c r="E431">
        <v>0</v>
      </c>
      <c r="F431">
        <v>0</v>
      </c>
      <c r="G431">
        <f t="shared" si="19"/>
        <v>0</v>
      </c>
      <c r="H431">
        <f t="shared" si="18"/>
        <v>0</v>
      </c>
      <c r="I431" t="str">
        <f>_xlfn.XLOOKUP(A431,'[1]Forecast 2026'!$A:$A,'[1]Forecast 2026'!$AJ:$AJ,"NA",0,1)</f>
        <v>NA</v>
      </c>
      <c r="J431" t="str">
        <f t="shared" si="20"/>
        <v/>
      </c>
    </row>
    <row r="432" spans="1:10" hidden="1" x14ac:dyDescent="0.35">
      <c r="A432" t="s">
        <v>894</v>
      </c>
      <c r="B432" t="s">
        <v>895</v>
      </c>
      <c r="C432" t="s">
        <v>868</v>
      </c>
      <c r="D432" t="s">
        <v>869</v>
      </c>
      <c r="E432">
        <v>0</v>
      </c>
      <c r="F432">
        <v>0</v>
      </c>
      <c r="G432">
        <f t="shared" si="19"/>
        <v>0</v>
      </c>
      <c r="H432">
        <f t="shared" si="18"/>
        <v>0</v>
      </c>
      <c r="I432" t="str">
        <f>_xlfn.XLOOKUP(A432,'[1]Forecast 2026'!$A:$A,'[1]Forecast 2026'!$AJ:$AJ,"NA",0,1)</f>
        <v>NA</v>
      </c>
      <c r="J432" t="str">
        <f t="shared" si="20"/>
        <v/>
      </c>
    </row>
    <row r="433" spans="1:10" hidden="1" x14ac:dyDescent="0.35">
      <c r="A433" t="s">
        <v>896</v>
      </c>
      <c r="B433" t="s">
        <v>897</v>
      </c>
      <c r="C433" t="s">
        <v>868</v>
      </c>
      <c r="D433" t="s">
        <v>869</v>
      </c>
      <c r="E433">
        <v>0</v>
      </c>
      <c r="F433">
        <v>0</v>
      </c>
      <c r="G433">
        <f t="shared" si="19"/>
        <v>0</v>
      </c>
      <c r="H433">
        <f t="shared" si="18"/>
        <v>0</v>
      </c>
      <c r="I433" t="str">
        <f>_xlfn.XLOOKUP(A433,'[1]Forecast 2026'!$A:$A,'[1]Forecast 2026'!$AJ:$AJ,"NA",0,1)</f>
        <v>NA</v>
      </c>
      <c r="J433" t="str">
        <f t="shared" si="20"/>
        <v/>
      </c>
    </row>
    <row r="434" spans="1:10" hidden="1" x14ac:dyDescent="0.35">
      <c r="A434" t="s">
        <v>898</v>
      </c>
      <c r="B434" t="s">
        <v>899</v>
      </c>
      <c r="C434" t="s">
        <v>868</v>
      </c>
      <c r="D434" t="s">
        <v>869</v>
      </c>
      <c r="E434">
        <v>0</v>
      </c>
      <c r="F434">
        <v>0</v>
      </c>
      <c r="G434">
        <f t="shared" si="19"/>
        <v>0</v>
      </c>
      <c r="H434">
        <f t="shared" si="18"/>
        <v>0</v>
      </c>
      <c r="I434" t="str">
        <f>_xlfn.XLOOKUP(A434,'[1]Forecast 2026'!$A:$A,'[1]Forecast 2026'!$AJ:$AJ,"NA",0,1)</f>
        <v>NA</v>
      </c>
      <c r="J434" t="str">
        <f t="shared" si="20"/>
        <v/>
      </c>
    </row>
    <row r="435" spans="1:10" hidden="1" x14ac:dyDescent="0.35">
      <c r="A435" t="s">
        <v>900</v>
      </c>
      <c r="B435" t="s">
        <v>901</v>
      </c>
      <c r="C435" t="s">
        <v>868</v>
      </c>
      <c r="D435" t="s">
        <v>869</v>
      </c>
      <c r="E435">
        <v>0</v>
      </c>
      <c r="F435">
        <v>0</v>
      </c>
      <c r="G435">
        <f t="shared" si="19"/>
        <v>0</v>
      </c>
      <c r="H435">
        <f t="shared" si="18"/>
        <v>0</v>
      </c>
      <c r="I435" t="str">
        <f>_xlfn.XLOOKUP(A435,'[1]Forecast 2026'!$A:$A,'[1]Forecast 2026'!$AJ:$AJ,"NA",0,1)</f>
        <v>NA</v>
      </c>
      <c r="J435" t="str">
        <f t="shared" si="20"/>
        <v/>
      </c>
    </row>
    <row r="436" spans="1:10" hidden="1" x14ac:dyDescent="0.35">
      <c r="A436" t="s">
        <v>902</v>
      </c>
      <c r="B436" t="s">
        <v>903</v>
      </c>
      <c r="C436" t="s">
        <v>868</v>
      </c>
      <c r="D436" t="s">
        <v>869</v>
      </c>
      <c r="E436">
        <v>0</v>
      </c>
      <c r="F436">
        <v>0</v>
      </c>
      <c r="G436">
        <f t="shared" si="19"/>
        <v>0</v>
      </c>
      <c r="H436">
        <f t="shared" si="18"/>
        <v>0</v>
      </c>
      <c r="I436" t="str">
        <f>_xlfn.XLOOKUP(A436,'[1]Forecast 2026'!$A:$A,'[1]Forecast 2026'!$AJ:$AJ,"NA",0,1)</f>
        <v>NA</v>
      </c>
      <c r="J436" t="str">
        <f t="shared" si="20"/>
        <v/>
      </c>
    </row>
    <row r="437" spans="1:10" hidden="1" x14ac:dyDescent="0.35">
      <c r="A437" t="s">
        <v>904</v>
      </c>
      <c r="B437" t="s">
        <v>905</v>
      </c>
      <c r="C437" t="s">
        <v>868</v>
      </c>
      <c r="D437" t="s">
        <v>869</v>
      </c>
      <c r="E437">
        <v>0</v>
      </c>
      <c r="F437">
        <v>0</v>
      </c>
      <c r="G437">
        <f t="shared" si="19"/>
        <v>0</v>
      </c>
      <c r="H437">
        <f t="shared" si="18"/>
        <v>0</v>
      </c>
      <c r="I437" t="str">
        <f>_xlfn.XLOOKUP(A437,'[1]Forecast 2026'!$A:$A,'[1]Forecast 2026'!$AJ:$AJ,"NA",0,1)</f>
        <v>NA</v>
      </c>
      <c r="J437" t="str">
        <f t="shared" si="20"/>
        <v/>
      </c>
    </row>
    <row r="438" spans="1:10" hidden="1" x14ac:dyDescent="0.35">
      <c r="A438" t="s">
        <v>906</v>
      </c>
      <c r="B438" t="s">
        <v>907</v>
      </c>
      <c r="C438" t="s">
        <v>868</v>
      </c>
      <c r="D438" t="s">
        <v>869</v>
      </c>
      <c r="E438">
        <v>0</v>
      </c>
      <c r="F438">
        <v>0</v>
      </c>
      <c r="G438">
        <f t="shared" si="19"/>
        <v>0</v>
      </c>
      <c r="H438">
        <f t="shared" si="18"/>
        <v>0</v>
      </c>
      <c r="I438" t="str">
        <f>_xlfn.XLOOKUP(A438,'[1]Forecast 2026'!$A:$A,'[1]Forecast 2026'!$AJ:$AJ,"NA",0,1)</f>
        <v>NA</v>
      </c>
      <c r="J438" t="str">
        <f t="shared" si="20"/>
        <v/>
      </c>
    </row>
    <row r="439" spans="1:10" hidden="1" x14ac:dyDescent="0.35">
      <c r="A439" t="s">
        <v>908</v>
      </c>
      <c r="B439" t="s">
        <v>909</v>
      </c>
      <c r="C439" t="s">
        <v>868</v>
      </c>
      <c r="D439" t="s">
        <v>869</v>
      </c>
      <c r="E439">
        <v>0</v>
      </c>
      <c r="F439">
        <v>0</v>
      </c>
      <c r="G439">
        <f t="shared" si="19"/>
        <v>0</v>
      </c>
      <c r="H439">
        <f t="shared" si="18"/>
        <v>0</v>
      </c>
      <c r="I439" t="str">
        <f>_xlfn.XLOOKUP(A439,'[1]Forecast 2026'!$A:$A,'[1]Forecast 2026'!$AJ:$AJ,"NA",0,1)</f>
        <v>NA</v>
      </c>
      <c r="J439" t="str">
        <f t="shared" si="20"/>
        <v/>
      </c>
    </row>
    <row r="440" spans="1:10" hidden="1" x14ac:dyDescent="0.35">
      <c r="A440" t="s">
        <v>910</v>
      </c>
      <c r="B440" t="s">
        <v>911</v>
      </c>
      <c r="C440" t="s">
        <v>868</v>
      </c>
      <c r="D440" t="s">
        <v>869</v>
      </c>
      <c r="E440">
        <v>0</v>
      </c>
      <c r="F440">
        <v>0</v>
      </c>
      <c r="G440">
        <f t="shared" si="19"/>
        <v>0</v>
      </c>
      <c r="H440">
        <f t="shared" si="18"/>
        <v>0</v>
      </c>
      <c r="I440" t="str">
        <f>_xlfn.XLOOKUP(A440,'[1]Forecast 2026'!$A:$A,'[1]Forecast 2026'!$AJ:$AJ,"NA",0,1)</f>
        <v>NA</v>
      </c>
      <c r="J440" t="str">
        <f t="shared" si="20"/>
        <v/>
      </c>
    </row>
    <row r="441" spans="1:10" hidden="1" x14ac:dyDescent="0.35">
      <c r="A441" t="s">
        <v>912</v>
      </c>
      <c r="B441" t="s">
        <v>913</v>
      </c>
      <c r="C441" t="s">
        <v>868</v>
      </c>
      <c r="D441" t="s">
        <v>869</v>
      </c>
      <c r="E441">
        <v>0</v>
      </c>
      <c r="F441">
        <v>0</v>
      </c>
      <c r="G441">
        <f t="shared" si="19"/>
        <v>0</v>
      </c>
      <c r="H441">
        <f t="shared" si="18"/>
        <v>0</v>
      </c>
      <c r="I441" t="str">
        <f>_xlfn.XLOOKUP(A441,'[1]Forecast 2026'!$A:$A,'[1]Forecast 2026'!$AJ:$AJ,"NA",0,1)</f>
        <v>NA</v>
      </c>
      <c r="J441" t="str">
        <f t="shared" si="20"/>
        <v/>
      </c>
    </row>
    <row r="442" spans="1:10" hidden="1" x14ac:dyDescent="0.35">
      <c r="A442" t="s">
        <v>914</v>
      </c>
      <c r="B442" t="s">
        <v>915</v>
      </c>
      <c r="C442" t="s">
        <v>868</v>
      </c>
      <c r="D442" t="s">
        <v>869</v>
      </c>
      <c r="E442">
        <v>0</v>
      </c>
      <c r="F442">
        <v>0</v>
      </c>
      <c r="G442">
        <f t="shared" si="19"/>
        <v>0</v>
      </c>
      <c r="H442">
        <f t="shared" si="18"/>
        <v>0</v>
      </c>
      <c r="I442" t="str">
        <f>_xlfn.XLOOKUP(A442,'[1]Forecast 2026'!$A:$A,'[1]Forecast 2026'!$AJ:$AJ,"NA",0,1)</f>
        <v>NA</v>
      </c>
      <c r="J442" t="str">
        <f t="shared" si="20"/>
        <v/>
      </c>
    </row>
    <row r="443" spans="1:10" hidden="1" x14ac:dyDescent="0.35">
      <c r="A443" t="s">
        <v>916</v>
      </c>
      <c r="B443" t="s">
        <v>917</v>
      </c>
      <c r="C443" t="s">
        <v>868</v>
      </c>
      <c r="D443" t="s">
        <v>869</v>
      </c>
      <c r="E443">
        <v>0</v>
      </c>
      <c r="F443">
        <v>0</v>
      </c>
      <c r="G443">
        <f t="shared" si="19"/>
        <v>0</v>
      </c>
      <c r="H443">
        <f t="shared" si="18"/>
        <v>0</v>
      </c>
      <c r="I443" t="str">
        <f>_xlfn.XLOOKUP(A443,'[1]Forecast 2026'!$A:$A,'[1]Forecast 2026'!$AJ:$AJ,"NA",0,1)</f>
        <v>NA</v>
      </c>
      <c r="J443" t="str">
        <f t="shared" si="20"/>
        <v/>
      </c>
    </row>
    <row r="444" spans="1:10" hidden="1" x14ac:dyDescent="0.35">
      <c r="A444" t="s">
        <v>918</v>
      </c>
      <c r="B444" t="s">
        <v>919</v>
      </c>
      <c r="C444" t="s">
        <v>868</v>
      </c>
      <c r="D444" t="s">
        <v>869</v>
      </c>
      <c r="E444">
        <v>0</v>
      </c>
      <c r="F444">
        <v>0</v>
      </c>
      <c r="G444">
        <f t="shared" si="19"/>
        <v>0</v>
      </c>
      <c r="H444">
        <f t="shared" si="18"/>
        <v>0</v>
      </c>
      <c r="I444" t="str">
        <f>_xlfn.XLOOKUP(A444,'[1]Forecast 2026'!$A:$A,'[1]Forecast 2026'!$AJ:$AJ,"NA",0,1)</f>
        <v>NA</v>
      </c>
      <c r="J444" t="str">
        <f t="shared" si="20"/>
        <v/>
      </c>
    </row>
    <row r="445" spans="1:10" hidden="1" x14ac:dyDescent="0.35">
      <c r="A445" t="s">
        <v>920</v>
      </c>
      <c r="B445" t="s">
        <v>921</v>
      </c>
      <c r="C445" t="s">
        <v>868</v>
      </c>
      <c r="D445" t="s">
        <v>869</v>
      </c>
      <c r="E445">
        <v>0</v>
      </c>
      <c r="F445">
        <v>0</v>
      </c>
      <c r="G445">
        <f t="shared" si="19"/>
        <v>0</v>
      </c>
      <c r="H445">
        <f t="shared" si="18"/>
        <v>0</v>
      </c>
      <c r="I445" t="str">
        <f>_xlfn.XLOOKUP(A445,'[1]Forecast 2026'!$A:$A,'[1]Forecast 2026'!$AJ:$AJ,"NA",0,1)</f>
        <v>NA</v>
      </c>
      <c r="J445" t="str">
        <f t="shared" si="20"/>
        <v/>
      </c>
    </row>
    <row r="446" spans="1:10" hidden="1" x14ac:dyDescent="0.35">
      <c r="A446" t="s">
        <v>922</v>
      </c>
      <c r="B446" t="s">
        <v>923</v>
      </c>
      <c r="C446" t="s">
        <v>868</v>
      </c>
      <c r="D446" t="s">
        <v>869</v>
      </c>
      <c r="E446">
        <v>0</v>
      </c>
      <c r="F446">
        <v>0</v>
      </c>
      <c r="G446">
        <f t="shared" si="19"/>
        <v>0</v>
      </c>
      <c r="H446">
        <f t="shared" si="18"/>
        <v>0</v>
      </c>
      <c r="I446" t="str">
        <f>_xlfn.XLOOKUP(A446,'[1]Forecast 2026'!$A:$A,'[1]Forecast 2026'!$AJ:$AJ,"NA",0,1)</f>
        <v>NA</v>
      </c>
      <c r="J446" t="str">
        <f t="shared" si="20"/>
        <v/>
      </c>
    </row>
    <row r="447" spans="1:10" hidden="1" x14ac:dyDescent="0.35">
      <c r="A447" t="s">
        <v>924</v>
      </c>
      <c r="B447" t="s">
        <v>925</v>
      </c>
      <c r="C447" t="s">
        <v>868</v>
      </c>
      <c r="D447" t="s">
        <v>869</v>
      </c>
      <c r="E447">
        <v>0</v>
      </c>
      <c r="F447">
        <v>0</v>
      </c>
      <c r="G447">
        <f t="shared" si="19"/>
        <v>0</v>
      </c>
      <c r="H447">
        <f t="shared" si="18"/>
        <v>0</v>
      </c>
      <c r="I447" t="str">
        <f>_xlfn.XLOOKUP(A447,'[1]Forecast 2026'!$A:$A,'[1]Forecast 2026'!$AJ:$AJ,"NA",0,1)</f>
        <v>NA</v>
      </c>
      <c r="J447" t="str">
        <f t="shared" si="20"/>
        <v/>
      </c>
    </row>
    <row r="448" spans="1:10" hidden="1" x14ac:dyDescent="0.35">
      <c r="A448" t="s">
        <v>926</v>
      </c>
      <c r="B448" t="s">
        <v>927</v>
      </c>
      <c r="C448" t="s">
        <v>868</v>
      </c>
      <c r="D448" t="s">
        <v>869</v>
      </c>
      <c r="E448">
        <v>0</v>
      </c>
      <c r="F448">
        <v>0</v>
      </c>
      <c r="G448">
        <f t="shared" si="19"/>
        <v>0</v>
      </c>
      <c r="H448">
        <f t="shared" si="18"/>
        <v>0</v>
      </c>
      <c r="I448" t="str">
        <f>_xlfn.XLOOKUP(A448,'[1]Forecast 2026'!$A:$A,'[1]Forecast 2026'!$AJ:$AJ,"NA",0,1)</f>
        <v>NA</v>
      </c>
      <c r="J448" t="str">
        <f t="shared" si="20"/>
        <v/>
      </c>
    </row>
    <row r="449" spans="1:10" hidden="1" x14ac:dyDescent="0.35">
      <c r="A449" t="s">
        <v>928</v>
      </c>
      <c r="B449" t="s">
        <v>929</v>
      </c>
      <c r="C449" t="s">
        <v>868</v>
      </c>
      <c r="D449" t="s">
        <v>869</v>
      </c>
      <c r="E449">
        <v>0</v>
      </c>
      <c r="F449">
        <v>0</v>
      </c>
      <c r="G449">
        <f t="shared" si="19"/>
        <v>0</v>
      </c>
      <c r="H449">
        <f t="shared" si="18"/>
        <v>0</v>
      </c>
      <c r="I449" t="str">
        <f>_xlfn.XLOOKUP(A449,'[1]Forecast 2026'!$A:$A,'[1]Forecast 2026'!$AJ:$AJ,"NA",0,1)</f>
        <v>NA</v>
      </c>
      <c r="J449" t="str">
        <f t="shared" si="20"/>
        <v/>
      </c>
    </row>
    <row r="450" spans="1:10" hidden="1" x14ac:dyDescent="0.35">
      <c r="A450" t="s">
        <v>930</v>
      </c>
      <c r="B450" t="s">
        <v>931</v>
      </c>
      <c r="C450" t="s">
        <v>868</v>
      </c>
      <c r="D450" t="s">
        <v>869</v>
      </c>
      <c r="E450">
        <v>0</v>
      </c>
      <c r="F450">
        <v>0</v>
      </c>
      <c r="G450">
        <f t="shared" si="19"/>
        <v>0</v>
      </c>
      <c r="H450">
        <f t="shared" si="18"/>
        <v>0</v>
      </c>
      <c r="I450" t="str">
        <f>_xlfn.XLOOKUP(A450,'[1]Forecast 2026'!$A:$A,'[1]Forecast 2026'!$AJ:$AJ,"NA",0,1)</f>
        <v>NA</v>
      </c>
      <c r="J450" t="str">
        <f t="shared" si="20"/>
        <v/>
      </c>
    </row>
    <row r="451" spans="1:10" hidden="1" x14ac:dyDescent="0.35">
      <c r="A451" t="s">
        <v>932</v>
      </c>
      <c r="B451" t="s">
        <v>933</v>
      </c>
      <c r="C451" t="s">
        <v>868</v>
      </c>
      <c r="D451" t="s">
        <v>869</v>
      </c>
      <c r="E451">
        <v>0</v>
      </c>
      <c r="F451">
        <v>0</v>
      </c>
      <c r="G451">
        <f t="shared" si="19"/>
        <v>0</v>
      </c>
      <c r="H451">
        <f t="shared" ref="H451:H514" si="21">E451-G451</f>
        <v>0</v>
      </c>
      <c r="I451" t="str">
        <f>_xlfn.XLOOKUP(A451,'[1]Forecast 2026'!$A:$A,'[1]Forecast 2026'!$AJ:$AJ,"NA",0,1)</f>
        <v>NA</v>
      </c>
      <c r="J451" t="str">
        <f t="shared" si="20"/>
        <v/>
      </c>
    </row>
    <row r="452" spans="1:10" hidden="1" x14ac:dyDescent="0.35">
      <c r="A452" t="s">
        <v>934</v>
      </c>
      <c r="B452" t="s">
        <v>935</v>
      </c>
      <c r="C452" t="s">
        <v>868</v>
      </c>
      <c r="D452" t="s">
        <v>869</v>
      </c>
      <c r="E452">
        <v>0</v>
      </c>
      <c r="F452">
        <v>0</v>
      </c>
      <c r="G452">
        <f t="shared" ref="G452:G515" si="22">F452*E452</f>
        <v>0</v>
      </c>
      <c r="H452">
        <f t="shared" si="21"/>
        <v>0</v>
      </c>
      <c r="I452" t="str">
        <f>_xlfn.XLOOKUP(A452,'[1]Forecast 2026'!$A:$A,'[1]Forecast 2026'!$AJ:$AJ,"NA",0,1)</f>
        <v>NA</v>
      </c>
      <c r="J452" t="str">
        <f t="shared" ref="J452:J515" si="23">IFERROR(E452-I452,"")</f>
        <v/>
      </c>
    </row>
    <row r="453" spans="1:10" hidden="1" x14ac:dyDescent="0.35">
      <c r="A453" t="s">
        <v>936</v>
      </c>
      <c r="B453" t="s">
        <v>937</v>
      </c>
      <c r="C453" t="s">
        <v>868</v>
      </c>
      <c r="D453" t="s">
        <v>869</v>
      </c>
      <c r="E453">
        <v>0</v>
      </c>
      <c r="F453">
        <v>0</v>
      </c>
      <c r="G453">
        <f t="shared" si="22"/>
        <v>0</v>
      </c>
      <c r="H453">
        <f t="shared" si="21"/>
        <v>0</v>
      </c>
      <c r="I453" t="str">
        <f>_xlfn.XLOOKUP(A453,'[1]Forecast 2026'!$A:$A,'[1]Forecast 2026'!$AJ:$AJ,"NA",0,1)</f>
        <v>NA</v>
      </c>
      <c r="J453" t="str">
        <f t="shared" si="23"/>
        <v/>
      </c>
    </row>
    <row r="454" spans="1:10" hidden="1" x14ac:dyDescent="0.35">
      <c r="A454" t="s">
        <v>938</v>
      </c>
      <c r="B454" t="s">
        <v>939</v>
      </c>
      <c r="C454" t="s">
        <v>868</v>
      </c>
      <c r="D454" t="s">
        <v>869</v>
      </c>
      <c r="E454">
        <v>0</v>
      </c>
      <c r="F454">
        <v>0</v>
      </c>
      <c r="G454">
        <f t="shared" si="22"/>
        <v>0</v>
      </c>
      <c r="H454">
        <f t="shared" si="21"/>
        <v>0</v>
      </c>
      <c r="I454" t="str">
        <f>_xlfn.XLOOKUP(A454,'[1]Forecast 2026'!$A:$A,'[1]Forecast 2026'!$AJ:$AJ,"NA",0,1)</f>
        <v>NA</v>
      </c>
      <c r="J454" t="str">
        <f t="shared" si="23"/>
        <v/>
      </c>
    </row>
    <row r="455" spans="1:10" hidden="1" x14ac:dyDescent="0.35">
      <c r="A455" t="s">
        <v>940</v>
      </c>
      <c r="B455" t="s">
        <v>941</v>
      </c>
      <c r="C455" t="s">
        <v>868</v>
      </c>
      <c r="D455" t="s">
        <v>869</v>
      </c>
      <c r="E455">
        <v>0</v>
      </c>
      <c r="F455">
        <v>0</v>
      </c>
      <c r="G455">
        <f t="shared" si="22"/>
        <v>0</v>
      </c>
      <c r="H455">
        <f t="shared" si="21"/>
        <v>0</v>
      </c>
      <c r="I455" t="str">
        <f>_xlfn.XLOOKUP(A455,'[1]Forecast 2026'!$A:$A,'[1]Forecast 2026'!$AJ:$AJ,"NA",0,1)</f>
        <v>NA</v>
      </c>
      <c r="J455" t="str">
        <f t="shared" si="23"/>
        <v/>
      </c>
    </row>
    <row r="456" spans="1:10" hidden="1" x14ac:dyDescent="0.35">
      <c r="A456" t="s">
        <v>942</v>
      </c>
      <c r="B456" t="s">
        <v>943</v>
      </c>
      <c r="C456" t="s">
        <v>868</v>
      </c>
      <c r="D456" t="s">
        <v>869</v>
      </c>
      <c r="E456">
        <v>0</v>
      </c>
      <c r="F456">
        <v>0</v>
      </c>
      <c r="G456">
        <f t="shared" si="22"/>
        <v>0</v>
      </c>
      <c r="H456">
        <f t="shared" si="21"/>
        <v>0</v>
      </c>
      <c r="I456" t="str">
        <f>_xlfn.XLOOKUP(A456,'[1]Forecast 2026'!$A:$A,'[1]Forecast 2026'!$AJ:$AJ,"NA",0,1)</f>
        <v>NA</v>
      </c>
      <c r="J456" t="str">
        <f t="shared" si="23"/>
        <v/>
      </c>
    </row>
    <row r="457" spans="1:10" hidden="1" x14ac:dyDescent="0.35">
      <c r="A457" t="s">
        <v>944</v>
      </c>
      <c r="B457" t="s">
        <v>945</v>
      </c>
      <c r="C457" t="s">
        <v>868</v>
      </c>
      <c r="D457" t="s">
        <v>869</v>
      </c>
      <c r="E457">
        <v>0</v>
      </c>
      <c r="F457">
        <v>0</v>
      </c>
      <c r="G457">
        <f t="shared" si="22"/>
        <v>0</v>
      </c>
      <c r="H457">
        <f t="shared" si="21"/>
        <v>0</v>
      </c>
      <c r="I457" t="str">
        <f>_xlfn.XLOOKUP(A457,'[1]Forecast 2026'!$A:$A,'[1]Forecast 2026'!$AJ:$AJ,"NA",0,1)</f>
        <v>NA</v>
      </c>
      <c r="J457" t="str">
        <f t="shared" si="23"/>
        <v/>
      </c>
    </row>
    <row r="458" spans="1:10" hidden="1" x14ac:dyDescent="0.35">
      <c r="A458" t="s">
        <v>946</v>
      </c>
      <c r="B458" t="s">
        <v>947</v>
      </c>
      <c r="C458" t="s">
        <v>868</v>
      </c>
      <c r="D458" t="s">
        <v>869</v>
      </c>
      <c r="E458">
        <v>0</v>
      </c>
      <c r="F458">
        <v>0</v>
      </c>
      <c r="G458">
        <f t="shared" si="22"/>
        <v>0</v>
      </c>
      <c r="H458">
        <f t="shared" si="21"/>
        <v>0</v>
      </c>
      <c r="I458" t="str">
        <f>_xlfn.XLOOKUP(A458,'[1]Forecast 2026'!$A:$A,'[1]Forecast 2026'!$AJ:$AJ,"NA",0,1)</f>
        <v>NA</v>
      </c>
      <c r="J458" t="str">
        <f t="shared" si="23"/>
        <v/>
      </c>
    </row>
    <row r="459" spans="1:10" hidden="1" x14ac:dyDescent="0.35">
      <c r="A459" t="s">
        <v>948</v>
      </c>
      <c r="B459" t="s">
        <v>949</v>
      </c>
      <c r="C459" t="s">
        <v>868</v>
      </c>
      <c r="D459" t="s">
        <v>869</v>
      </c>
      <c r="E459">
        <v>0</v>
      </c>
      <c r="F459">
        <v>0</v>
      </c>
      <c r="G459">
        <f t="shared" si="22"/>
        <v>0</v>
      </c>
      <c r="H459">
        <f t="shared" si="21"/>
        <v>0</v>
      </c>
      <c r="I459" t="str">
        <f>_xlfn.XLOOKUP(A459,'[1]Forecast 2026'!$A:$A,'[1]Forecast 2026'!$AJ:$AJ,"NA",0,1)</f>
        <v>NA</v>
      </c>
      <c r="J459" t="str">
        <f t="shared" si="23"/>
        <v/>
      </c>
    </row>
    <row r="460" spans="1:10" hidden="1" x14ac:dyDescent="0.35">
      <c r="A460" t="s">
        <v>950</v>
      </c>
      <c r="B460" t="s">
        <v>951</v>
      </c>
      <c r="C460" t="s">
        <v>868</v>
      </c>
      <c r="D460" t="s">
        <v>869</v>
      </c>
      <c r="E460">
        <v>0</v>
      </c>
      <c r="F460">
        <v>0</v>
      </c>
      <c r="G460">
        <f t="shared" si="22"/>
        <v>0</v>
      </c>
      <c r="H460">
        <f t="shared" si="21"/>
        <v>0</v>
      </c>
      <c r="I460" t="str">
        <f>_xlfn.XLOOKUP(A460,'[1]Forecast 2026'!$A:$A,'[1]Forecast 2026'!$AJ:$AJ,"NA",0,1)</f>
        <v>NA</v>
      </c>
      <c r="J460" t="str">
        <f t="shared" si="23"/>
        <v/>
      </c>
    </row>
    <row r="461" spans="1:10" hidden="1" x14ac:dyDescent="0.35">
      <c r="A461" t="s">
        <v>952</v>
      </c>
      <c r="B461" t="s">
        <v>953</v>
      </c>
      <c r="C461" t="s">
        <v>868</v>
      </c>
      <c r="D461" t="s">
        <v>869</v>
      </c>
      <c r="E461">
        <v>0</v>
      </c>
      <c r="F461">
        <v>0</v>
      </c>
      <c r="G461">
        <f t="shared" si="22"/>
        <v>0</v>
      </c>
      <c r="H461">
        <f t="shared" si="21"/>
        <v>0</v>
      </c>
      <c r="I461" t="str">
        <f>_xlfn.XLOOKUP(A461,'[1]Forecast 2026'!$A:$A,'[1]Forecast 2026'!$AJ:$AJ,"NA",0,1)</f>
        <v>NA</v>
      </c>
      <c r="J461" t="str">
        <f t="shared" si="23"/>
        <v/>
      </c>
    </row>
    <row r="462" spans="1:10" hidden="1" x14ac:dyDescent="0.35">
      <c r="A462" t="s">
        <v>954</v>
      </c>
      <c r="B462" t="s">
        <v>955</v>
      </c>
      <c r="C462" t="s">
        <v>868</v>
      </c>
      <c r="D462" t="s">
        <v>869</v>
      </c>
      <c r="E462">
        <v>0</v>
      </c>
      <c r="F462">
        <v>0</v>
      </c>
      <c r="G462">
        <f t="shared" si="22"/>
        <v>0</v>
      </c>
      <c r="H462">
        <f t="shared" si="21"/>
        <v>0</v>
      </c>
      <c r="I462" t="str">
        <f>_xlfn.XLOOKUP(A462,'[1]Forecast 2026'!$A:$A,'[1]Forecast 2026'!$AJ:$AJ,"NA",0,1)</f>
        <v>NA</v>
      </c>
      <c r="J462" t="str">
        <f t="shared" si="23"/>
        <v/>
      </c>
    </row>
    <row r="463" spans="1:10" hidden="1" x14ac:dyDescent="0.35">
      <c r="A463" t="s">
        <v>956</v>
      </c>
      <c r="B463" t="s">
        <v>957</v>
      </c>
      <c r="C463" t="s">
        <v>868</v>
      </c>
      <c r="D463" t="s">
        <v>869</v>
      </c>
      <c r="E463">
        <v>0</v>
      </c>
      <c r="F463">
        <v>0</v>
      </c>
      <c r="G463">
        <f t="shared" si="22"/>
        <v>0</v>
      </c>
      <c r="H463">
        <f t="shared" si="21"/>
        <v>0</v>
      </c>
      <c r="I463" t="str">
        <f>_xlfn.XLOOKUP(A463,'[1]Forecast 2026'!$A:$A,'[1]Forecast 2026'!$AJ:$AJ,"NA",0,1)</f>
        <v>NA</v>
      </c>
      <c r="J463" t="str">
        <f t="shared" si="23"/>
        <v/>
      </c>
    </row>
    <row r="464" spans="1:10" hidden="1" x14ac:dyDescent="0.35">
      <c r="A464" t="s">
        <v>958</v>
      </c>
      <c r="B464" t="s">
        <v>959</v>
      </c>
      <c r="C464" t="s">
        <v>868</v>
      </c>
      <c r="D464" t="s">
        <v>869</v>
      </c>
      <c r="E464">
        <v>0</v>
      </c>
      <c r="F464">
        <v>0</v>
      </c>
      <c r="G464">
        <f t="shared" si="22"/>
        <v>0</v>
      </c>
      <c r="H464">
        <f t="shared" si="21"/>
        <v>0</v>
      </c>
      <c r="I464" t="str">
        <f>_xlfn.XLOOKUP(A464,'[1]Forecast 2026'!$A:$A,'[1]Forecast 2026'!$AJ:$AJ,"NA",0,1)</f>
        <v>NA</v>
      </c>
      <c r="J464" t="str">
        <f t="shared" si="23"/>
        <v/>
      </c>
    </row>
    <row r="465" spans="1:10" hidden="1" x14ac:dyDescent="0.35">
      <c r="A465" t="s">
        <v>960</v>
      </c>
      <c r="B465" t="s">
        <v>961</v>
      </c>
      <c r="C465" t="s">
        <v>868</v>
      </c>
      <c r="D465" t="s">
        <v>869</v>
      </c>
      <c r="E465">
        <v>0</v>
      </c>
      <c r="F465">
        <v>0</v>
      </c>
      <c r="G465">
        <f t="shared" si="22"/>
        <v>0</v>
      </c>
      <c r="H465">
        <f t="shared" si="21"/>
        <v>0</v>
      </c>
      <c r="I465" t="str">
        <f>_xlfn.XLOOKUP(A465,'[1]Forecast 2026'!$A:$A,'[1]Forecast 2026'!$AJ:$AJ,"NA",0,1)</f>
        <v>NA</v>
      </c>
      <c r="J465" t="str">
        <f t="shared" si="23"/>
        <v/>
      </c>
    </row>
    <row r="466" spans="1:10" hidden="1" x14ac:dyDescent="0.35">
      <c r="A466" t="s">
        <v>962</v>
      </c>
      <c r="B466" t="s">
        <v>963</v>
      </c>
      <c r="C466" t="s">
        <v>868</v>
      </c>
      <c r="D466" t="s">
        <v>869</v>
      </c>
      <c r="E466">
        <v>0</v>
      </c>
      <c r="F466">
        <v>0</v>
      </c>
      <c r="G466">
        <f t="shared" si="22"/>
        <v>0</v>
      </c>
      <c r="H466">
        <f t="shared" si="21"/>
        <v>0</v>
      </c>
      <c r="I466" t="str">
        <f>_xlfn.XLOOKUP(A466,'[1]Forecast 2026'!$A:$A,'[1]Forecast 2026'!$AJ:$AJ,"NA",0,1)</f>
        <v>NA</v>
      </c>
      <c r="J466" t="str">
        <f t="shared" si="23"/>
        <v/>
      </c>
    </row>
    <row r="467" spans="1:10" hidden="1" x14ac:dyDescent="0.35">
      <c r="A467" t="s">
        <v>964</v>
      </c>
      <c r="B467" t="s">
        <v>965</v>
      </c>
      <c r="C467" t="s">
        <v>868</v>
      </c>
      <c r="D467" t="s">
        <v>869</v>
      </c>
      <c r="E467">
        <v>0</v>
      </c>
      <c r="F467">
        <v>0</v>
      </c>
      <c r="G467">
        <f t="shared" si="22"/>
        <v>0</v>
      </c>
      <c r="H467">
        <f t="shared" si="21"/>
        <v>0</v>
      </c>
      <c r="I467" t="str">
        <f>_xlfn.XLOOKUP(A467,'[1]Forecast 2026'!$A:$A,'[1]Forecast 2026'!$AJ:$AJ,"NA",0,1)</f>
        <v>NA</v>
      </c>
      <c r="J467" t="str">
        <f t="shared" si="23"/>
        <v/>
      </c>
    </row>
    <row r="468" spans="1:10" hidden="1" x14ac:dyDescent="0.35">
      <c r="A468" t="s">
        <v>966</v>
      </c>
      <c r="B468" t="s">
        <v>967</v>
      </c>
      <c r="C468" t="s">
        <v>868</v>
      </c>
      <c r="D468" t="s">
        <v>869</v>
      </c>
      <c r="E468">
        <v>0</v>
      </c>
      <c r="F468">
        <v>0</v>
      </c>
      <c r="G468">
        <f t="shared" si="22"/>
        <v>0</v>
      </c>
      <c r="H468">
        <f t="shared" si="21"/>
        <v>0</v>
      </c>
      <c r="I468" t="str">
        <f>_xlfn.XLOOKUP(A468,'[1]Forecast 2026'!$A:$A,'[1]Forecast 2026'!$AJ:$AJ,"NA",0,1)</f>
        <v>NA</v>
      </c>
      <c r="J468" t="str">
        <f t="shared" si="23"/>
        <v/>
      </c>
    </row>
    <row r="469" spans="1:10" hidden="1" x14ac:dyDescent="0.35">
      <c r="A469" t="s">
        <v>968</v>
      </c>
      <c r="B469" t="s">
        <v>969</v>
      </c>
      <c r="C469" t="s">
        <v>868</v>
      </c>
      <c r="D469" t="s">
        <v>869</v>
      </c>
      <c r="E469">
        <v>0</v>
      </c>
      <c r="F469">
        <v>0</v>
      </c>
      <c r="G469">
        <f t="shared" si="22"/>
        <v>0</v>
      </c>
      <c r="H469">
        <f t="shared" si="21"/>
        <v>0</v>
      </c>
      <c r="I469" t="str">
        <f>_xlfn.XLOOKUP(A469,'[1]Forecast 2026'!$A:$A,'[1]Forecast 2026'!$AJ:$AJ,"NA",0,1)</f>
        <v>NA</v>
      </c>
      <c r="J469" t="str">
        <f t="shared" si="23"/>
        <v/>
      </c>
    </row>
    <row r="470" spans="1:10" hidden="1" x14ac:dyDescent="0.35">
      <c r="A470" t="s">
        <v>970</v>
      </c>
      <c r="B470" t="s">
        <v>971</v>
      </c>
      <c r="C470" t="s">
        <v>868</v>
      </c>
      <c r="D470" t="s">
        <v>869</v>
      </c>
      <c r="E470">
        <v>0</v>
      </c>
      <c r="F470">
        <v>0</v>
      </c>
      <c r="G470">
        <f t="shared" si="22"/>
        <v>0</v>
      </c>
      <c r="H470">
        <f t="shared" si="21"/>
        <v>0</v>
      </c>
      <c r="I470" t="str">
        <f>_xlfn.XLOOKUP(A470,'[1]Forecast 2026'!$A:$A,'[1]Forecast 2026'!$AJ:$AJ,"NA",0,1)</f>
        <v>NA</v>
      </c>
      <c r="J470" t="str">
        <f t="shared" si="23"/>
        <v/>
      </c>
    </row>
    <row r="471" spans="1:10" hidden="1" x14ac:dyDescent="0.35">
      <c r="A471" t="s">
        <v>972</v>
      </c>
      <c r="B471" t="s">
        <v>973</v>
      </c>
      <c r="C471" t="s">
        <v>868</v>
      </c>
      <c r="D471" t="s">
        <v>869</v>
      </c>
      <c r="E471">
        <v>0</v>
      </c>
      <c r="F471">
        <v>0</v>
      </c>
      <c r="G471">
        <f t="shared" si="22"/>
        <v>0</v>
      </c>
      <c r="H471">
        <f t="shared" si="21"/>
        <v>0</v>
      </c>
      <c r="I471" t="str">
        <f>_xlfn.XLOOKUP(A471,'[1]Forecast 2026'!$A:$A,'[1]Forecast 2026'!$AJ:$AJ,"NA",0,1)</f>
        <v>NA</v>
      </c>
      <c r="J471" t="str">
        <f t="shared" si="23"/>
        <v/>
      </c>
    </row>
    <row r="472" spans="1:10" hidden="1" x14ac:dyDescent="0.35">
      <c r="A472" t="s">
        <v>974</v>
      </c>
      <c r="B472" t="s">
        <v>975</v>
      </c>
      <c r="C472" t="s">
        <v>868</v>
      </c>
      <c r="D472" t="s">
        <v>869</v>
      </c>
      <c r="E472">
        <v>0</v>
      </c>
      <c r="F472">
        <v>0</v>
      </c>
      <c r="G472">
        <f t="shared" si="22"/>
        <v>0</v>
      </c>
      <c r="H472">
        <f t="shared" si="21"/>
        <v>0</v>
      </c>
      <c r="I472" t="str">
        <f>_xlfn.XLOOKUP(A472,'[1]Forecast 2026'!$A:$A,'[1]Forecast 2026'!$AJ:$AJ,"NA",0,1)</f>
        <v>NA</v>
      </c>
      <c r="J472" t="str">
        <f t="shared" si="23"/>
        <v/>
      </c>
    </row>
    <row r="473" spans="1:10" hidden="1" x14ac:dyDescent="0.35">
      <c r="A473" t="s">
        <v>976</v>
      </c>
      <c r="B473" t="s">
        <v>977</v>
      </c>
      <c r="C473" t="s">
        <v>868</v>
      </c>
      <c r="D473" t="s">
        <v>869</v>
      </c>
      <c r="E473">
        <v>0</v>
      </c>
      <c r="F473">
        <v>0</v>
      </c>
      <c r="G473">
        <f t="shared" si="22"/>
        <v>0</v>
      </c>
      <c r="H473">
        <f t="shared" si="21"/>
        <v>0</v>
      </c>
      <c r="I473" t="str">
        <f>_xlfn.XLOOKUP(A473,'[1]Forecast 2026'!$A:$A,'[1]Forecast 2026'!$AJ:$AJ,"NA",0,1)</f>
        <v>NA</v>
      </c>
      <c r="J473" t="str">
        <f t="shared" si="23"/>
        <v/>
      </c>
    </row>
    <row r="474" spans="1:10" hidden="1" x14ac:dyDescent="0.35">
      <c r="A474" t="s">
        <v>978</v>
      </c>
      <c r="B474" t="s">
        <v>979</v>
      </c>
      <c r="C474" t="s">
        <v>868</v>
      </c>
      <c r="D474" t="s">
        <v>869</v>
      </c>
      <c r="E474">
        <v>0</v>
      </c>
      <c r="F474">
        <v>0</v>
      </c>
      <c r="G474">
        <f t="shared" si="22"/>
        <v>0</v>
      </c>
      <c r="H474">
        <f t="shared" si="21"/>
        <v>0</v>
      </c>
      <c r="I474" t="str">
        <f>_xlfn.XLOOKUP(A474,'[1]Forecast 2026'!$A:$A,'[1]Forecast 2026'!$AJ:$AJ,"NA",0,1)</f>
        <v>NA</v>
      </c>
      <c r="J474" t="str">
        <f t="shared" si="23"/>
        <v/>
      </c>
    </row>
    <row r="475" spans="1:10" hidden="1" x14ac:dyDescent="0.35">
      <c r="A475" t="s">
        <v>980</v>
      </c>
      <c r="B475" t="s">
        <v>981</v>
      </c>
      <c r="C475" t="s">
        <v>868</v>
      </c>
      <c r="D475" t="s">
        <v>869</v>
      </c>
      <c r="E475">
        <v>0</v>
      </c>
      <c r="F475">
        <v>0</v>
      </c>
      <c r="G475">
        <f t="shared" si="22"/>
        <v>0</v>
      </c>
      <c r="H475">
        <f t="shared" si="21"/>
        <v>0</v>
      </c>
      <c r="I475" t="str">
        <f>_xlfn.XLOOKUP(A475,'[1]Forecast 2026'!$A:$A,'[1]Forecast 2026'!$AJ:$AJ,"NA",0,1)</f>
        <v>NA</v>
      </c>
      <c r="J475" t="str">
        <f t="shared" si="23"/>
        <v/>
      </c>
    </row>
    <row r="476" spans="1:10" hidden="1" x14ac:dyDescent="0.35">
      <c r="A476" t="s">
        <v>982</v>
      </c>
      <c r="B476" t="s">
        <v>983</v>
      </c>
      <c r="C476" t="s">
        <v>868</v>
      </c>
      <c r="D476" t="s">
        <v>869</v>
      </c>
      <c r="E476">
        <v>0</v>
      </c>
      <c r="F476">
        <v>0</v>
      </c>
      <c r="G476">
        <f t="shared" si="22"/>
        <v>0</v>
      </c>
      <c r="H476">
        <f t="shared" si="21"/>
        <v>0</v>
      </c>
      <c r="I476" t="str">
        <f>_xlfn.XLOOKUP(A476,'[1]Forecast 2026'!$A:$A,'[1]Forecast 2026'!$AJ:$AJ,"NA",0,1)</f>
        <v>NA</v>
      </c>
      <c r="J476" t="str">
        <f t="shared" si="23"/>
        <v/>
      </c>
    </row>
    <row r="477" spans="1:10" hidden="1" x14ac:dyDescent="0.35">
      <c r="A477" t="s">
        <v>984</v>
      </c>
      <c r="B477" t="s">
        <v>985</v>
      </c>
      <c r="C477" t="s">
        <v>868</v>
      </c>
      <c r="D477" t="s">
        <v>869</v>
      </c>
      <c r="E477">
        <v>0</v>
      </c>
      <c r="F477">
        <v>0</v>
      </c>
      <c r="G477">
        <f t="shared" si="22"/>
        <v>0</v>
      </c>
      <c r="H477">
        <f t="shared" si="21"/>
        <v>0</v>
      </c>
      <c r="I477" t="str">
        <f>_xlfn.XLOOKUP(A477,'[1]Forecast 2026'!$A:$A,'[1]Forecast 2026'!$AJ:$AJ,"NA",0,1)</f>
        <v>NA</v>
      </c>
      <c r="J477" t="str">
        <f t="shared" si="23"/>
        <v/>
      </c>
    </row>
    <row r="478" spans="1:10" hidden="1" x14ac:dyDescent="0.35">
      <c r="A478" t="s">
        <v>986</v>
      </c>
      <c r="B478" t="s">
        <v>987</v>
      </c>
      <c r="C478" t="s">
        <v>868</v>
      </c>
      <c r="D478" t="s">
        <v>869</v>
      </c>
      <c r="E478">
        <v>0</v>
      </c>
      <c r="F478">
        <v>0</v>
      </c>
      <c r="G478">
        <f t="shared" si="22"/>
        <v>0</v>
      </c>
      <c r="H478">
        <f t="shared" si="21"/>
        <v>0</v>
      </c>
      <c r="I478" t="str">
        <f>_xlfn.XLOOKUP(A478,'[1]Forecast 2026'!$A:$A,'[1]Forecast 2026'!$AJ:$AJ,"NA",0,1)</f>
        <v>NA</v>
      </c>
      <c r="J478" t="str">
        <f t="shared" si="23"/>
        <v/>
      </c>
    </row>
    <row r="479" spans="1:10" hidden="1" x14ac:dyDescent="0.35">
      <c r="A479" t="s">
        <v>988</v>
      </c>
      <c r="B479" t="s">
        <v>989</v>
      </c>
      <c r="C479" t="s">
        <v>868</v>
      </c>
      <c r="D479" t="s">
        <v>869</v>
      </c>
      <c r="E479">
        <v>0</v>
      </c>
      <c r="F479">
        <v>0</v>
      </c>
      <c r="G479">
        <f t="shared" si="22"/>
        <v>0</v>
      </c>
      <c r="H479">
        <f t="shared" si="21"/>
        <v>0</v>
      </c>
      <c r="I479" t="str">
        <f>_xlfn.XLOOKUP(A479,'[1]Forecast 2026'!$A:$A,'[1]Forecast 2026'!$AJ:$AJ,"NA",0,1)</f>
        <v>NA</v>
      </c>
      <c r="J479" t="str">
        <f t="shared" si="23"/>
        <v/>
      </c>
    </row>
    <row r="480" spans="1:10" hidden="1" x14ac:dyDescent="0.35">
      <c r="A480" t="s">
        <v>990</v>
      </c>
      <c r="B480" t="s">
        <v>991</v>
      </c>
      <c r="C480" t="s">
        <v>868</v>
      </c>
      <c r="D480" t="s">
        <v>869</v>
      </c>
      <c r="E480">
        <v>0</v>
      </c>
      <c r="F480">
        <v>0</v>
      </c>
      <c r="G480">
        <f t="shared" si="22"/>
        <v>0</v>
      </c>
      <c r="H480">
        <f t="shared" si="21"/>
        <v>0</v>
      </c>
      <c r="I480" t="str">
        <f>_xlfn.XLOOKUP(A480,'[1]Forecast 2026'!$A:$A,'[1]Forecast 2026'!$AJ:$AJ,"NA",0,1)</f>
        <v>NA</v>
      </c>
      <c r="J480" t="str">
        <f t="shared" si="23"/>
        <v/>
      </c>
    </row>
    <row r="481" spans="1:10" hidden="1" x14ac:dyDescent="0.35">
      <c r="A481" t="s">
        <v>992</v>
      </c>
      <c r="B481" t="s">
        <v>993</v>
      </c>
      <c r="C481" t="s">
        <v>868</v>
      </c>
      <c r="D481" t="s">
        <v>869</v>
      </c>
      <c r="E481">
        <v>0</v>
      </c>
      <c r="F481">
        <v>0</v>
      </c>
      <c r="G481">
        <f t="shared" si="22"/>
        <v>0</v>
      </c>
      <c r="H481">
        <f t="shared" si="21"/>
        <v>0</v>
      </c>
      <c r="I481" t="str">
        <f>_xlfn.XLOOKUP(A481,'[1]Forecast 2026'!$A:$A,'[1]Forecast 2026'!$AJ:$AJ,"NA",0,1)</f>
        <v>NA</v>
      </c>
      <c r="J481" t="str">
        <f t="shared" si="23"/>
        <v/>
      </c>
    </row>
    <row r="482" spans="1:10" hidden="1" x14ac:dyDescent="0.35">
      <c r="A482" t="s">
        <v>994</v>
      </c>
      <c r="B482" t="s">
        <v>995</v>
      </c>
      <c r="C482" t="s">
        <v>868</v>
      </c>
      <c r="D482" t="s">
        <v>869</v>
      </c>
      <c r="E482">
        <v>0</v>
      </c>
      <c r="F482">
        <v>0</v>
      </c>
      <c r="G482">
        <f t="shared" si="22"/>
        <v>0</v>
      </c>
      <c r="H482">
        <f t="shared" si="21"/>
        <v>0</v>
      </c>
      <c r="I482" t="str">
        <f>_xlfn.XLOOKUP(A482,'[1]Forecast 2026'!$A:$A,'[1]Forecast 2026'!$AJ:$AJ,"NA",0,1)</f>
        <v>NA</v>
      </c>
      <c r="J482" t="str">
        <f t="shared" si="23"/>
        <v/>
      </c>
    </row>
    <row r="483" spans="1:10" hidden="1" x14ac:dyDescent="0.35">
      <c r="A483" t="s">
        <v>996</v>
      </c>
      <c r="B483" t="s">
        <v>997</v>
      </c>
      <c r="C483" t="s">
        <v>868</v>
      </c>
      <c r="D483" t="s">
        <v>869</v>
      </c>
      <c r="E483">
        <v>0</v>
      </c>
      <c r="F483">
        <v>0</v>
      </c>
      <c r="G483">
        <f t="shared" si="22"/>
        <v>0</v>
      </c>
      <c r="H483">
        <f t="shared" si="21"/>
        <v>0</v>
      </c>
      <c r="I483" t="str">
        <f>_xlfn.XLOOKUP(A483,'[1]Forecast 2026'!$A:$A,'[1]Forecast 2026'!$AJ:$AJ,"NA",0,1)</f>
        <v>NA</v>
      </c>
      <c r="J483" t="str">
        <f t="shared" si="23"/>
        <v/>
      </c>
    </row>
    <row r="484" spans="1:10" hidden="1" x14ac:dyDescent="0.35">
      <c r="A484" t="s">
        <v>998</v>
      </c>
      <c r="B484" t="s">
        <v>999</v>
      </c>
      <c r="C484" t="s">
        <v>868</v>
      </c>
      <c r="D484" t="s">
        <v>869</v>
      </c>
      <c r="E484">
        <v>0</v>
      </c>
      <c r="F484">
        <v>0</v>
      </c>
      <c r="G484">
        <f t="shared" si="22"/>
        <v>0</v>
      </c>
      <c r="H484">
        <f t="shared" si="21"/>
        <v>0</v>
      </c>
      <c r="I484" t="str">
        <f>_xlfn.XLOOKUP(A484,'[1]Forecast 2026'!$A:$A,'[1]Forecast 2026'!$AJ:$AJ,"NA",0,1)</f>
        <v>NA</v>
      </c>
      <c r="J484" t="str">
        <f t="shared" si="23"/>
        <v/>
      </c>
    </row>
    <row r="485" spans="1:10" hidden="1" x14ac:dyDescent="0.35">
      <c r="A485" t="s">
        <v>1000</v>
      </c>
      <c r="B485" t="s">
        <v>1001</v>
      </c>
      <c r="C485" t="s">
        <v>868</v>
      </c>
      <c r="D485" t="s">
        <v>869</v>
      </c>
      <c r="E485">
        <v>0</v>
      </c>
      <c r="F485">
        <v>0</v>
      </c>
      <c r="G485">
        <f t="shared" si="22"/>
        <v>0</v>
      </c>
      <c r="H485">
        <f t="shared" si="21"/>
        <v>0</v>
      </c>
      <c r="I485" t="str">
        <f>_xlfn.XLOOKUP(A485,'[1]Forecast 2026'!$A:$A,'[1]Forecast 2026'!$AJ:$AJ,"NA",0,1)</f>
        <v>NA</v>
      </c>
      <c r="J485" t="str">
        <f t="shared" si="23"/>
        <v/>
      </c>
    </row>
    <row r="486" spans="1:10" hidden="1" x14ac:dyDescent="0.35">
      <c r="A486" t="s">
        <v>1002</v>
      </c>
      <c r="B486" t="s">
        <v>1003</v>
      </c>
      <c r="C486" t="s">
        <v>868</v>
      </c>
      <c r="D486" t="s">
        <v>869</v>
      </c>
      <c r="E486">
        <v>0</v>
      </c>
      <c r="F486">
        <v>0</v>
      </c>
      <c r="G486">
        <f t="shared" si="22"/>
        <v>0</v>
      </c>
      <c r="H486">
        <f t="shared" si="21"/>
        <v>0</v>
      </c>
      <c r="I486" t="str">
        <f>_xlfn.XLOOKUP(A486,'[1]Forecast 2026'!$A:$A,'[1]Forecast 2026'!$AJ:$AJ,"NA",0,1)</f>
        <v>NA</v>
      </c>
      <c r="J486" t="str">
        <f t="shared" si="23"/>
        <v/>
      </c>
    </row>
    <row r="487" spans="1:10" hidden="1" x14ac:dyDescent="0.35">
      <c r="A487" t="s">
        <v>1004</v>
      </c>
      <c r="B487" t="s">
        <v>1005</v>
      </c>
      <c r="C487" t="s">
        <v>868</v>
      </c>
      <c r="D487" t="s">
        <v>869</v>
      </c>
      <c r="E487">
        <v>0</v>
      </c>
      <c r="F487">
        <v>0</v>
      </c>
      <c r="G487">
        <f t="shared" si="22"/>
        <v>0</v>
      </c>
      <c r="H487">
        <f t="shared" si="21"/>
        <v>0</v>
      </c>
      <c r="I487" t="str">
        <f>_xlfn.XLOOKUP(A487,'[1]Forecast 2026'!$A:$A,'[1]Forecast 2026'!$AJ:$AJ,"NA",0,1)</f>
        <v>NA</v>
      </c>
      <c r="J487" t="str">
        <f t="shared" si="23"/>
        <v/>
      </c>
    </row>
    <row r="488" spans="1:10" hidden="1" x14ac:dyDescent="0.35">
      <c r="A488" t="s">
        <v>1006</v>
      </c>
      <c r="B488" t="s">
        <v>1007</v>
      </c>
      <c r="C488" t="s">
        <v>868</v>
      </c>
      <c r="D488" t="s">
        <v>869</v>
      </c>
      <c r="E488">
        <v>0</v>
      </c>
      <c r="F488">
        <v>0</v>
      </c>
      <c r="G488">
        <f t="shared" si="22"/>
        <v>0</v>
      </c>
      <c r="H488">
        <f t="shared" si="21"/>
        <v>0</v>
      </c>
      <c r="I488" t="str">
        <f>_xlfn.XLOOKUP(A488,'[1]Forecast 2026'!$A:$A,'[1]Forecast 2026'!$AJ:$AJ,"NA",0,1)</f>
        <v>NA</v>
      </c>
      <c r="J488" t="str">
        <f t="shared" si="23"/>
        <v/>
      </c>
    </row>
    <row r="489" spans="1:10" hidden="1" x14ac:dyDescent="0.35">
      <c r="A489" t="s">
        <v>1008</v>
      </c>
      <c r="B489" t="s">
        <v>1009</v>
      </c>
      <c r="C489" t="s">
        <v>868</v>
      </c>
      <c r="D489" t="s">
        <v>869</v>
      </c>
      <c r="E489">
        <v>0</v>
      </c>
      <c r="F489">
        <v>0</v>
      </c>
      <c r="G489">
        <f t="shared" si="22"/>
        <v>0</v>
      </c>
      <c r="H489">
        <f t="shared" si="21"/>
        <v>0</v>
      </c>
      <c r="I489" t="str">
        <f>_xlfn.XLOOKUP(A489,'[1]Forecast 2026'!$A:$A,'[1]Forecast 2026'!$AJ:$AJ,"NA",0,1)</f>
        <v>NA</v>
      </c>
      <c r="J489" t="str">
        <f t="shared" si="23"/>
        <v/>
      </c>
    </row>
    <row r="490" spans="1:10" hidden="1" x14ac:dyDescent="0.35">
      <c r="A490" t="s">
        <v>1010</v>
      </c>
      <c r="B490" t="s">
        <v>1011</v>
      </c>
      <c r="C490" t="s">
        <v>868</v>
      </c>
      <c r="D490" t="s">
        <v>869</v>
      </c>
      <c r="E490">
        <v>0</v>
      </c>
      <c r="F490">
        <v>0</v>
      </c>
      <c r="G490">
        <f t="shared" si="22"/>
        <v>0</v>
      </c>
      <c r="H490">
        <f t="shared" si="21"/>
        <v>0</v>
      </c>
      <c r="I490" t="str">
        <f>_xlfn.XLOOKUP(A490,'[1]Forecast 2026'!$A:$A,'[1]Forecast 2026'!$AJ:$AJ,"NA",0,1)</f>
        <v>NA</v>
      </c>
      <c r="J490" t="str">
        <f t="shared" si="23"/>
        <v/>
      </c>
    </row>
    <row r="491" spans="1:10" hidden="1" x14ac:dyDescent="0.35">
      <c r="A491" t="s">
        <v>1012</v>
      </c>
      <c r="B491" t="s">
        <v>1013</v>
      </c>
      <c r="C491" t="s">
        <v>868</v>
      </c>
      <c r="D491" t="s">
        <v>869</v>
      </c>
      <c r="E491">
        <v>0</v>
      </c>
      <c r="F491">
        <v>0</v>
      </c>
      <c r="G491">
        <f t="shared" si="22"/>
        <v>0</v>
      </c>
      <c r="H491">
        <f t="shared" si="21"/>
        <v>0</v>
      </c>
      <c r="I491" t="str">
        <f>_xlfn.XLOOKUP(A491,'[1]Forecast 2026'!$A:$A,'[1]Forecast 2026'!$AJ:$AJ,"NA",0,1)</f>
        <v>NA</v>
      </c>
      <c r="J491" t="str">
        <f t="shared" si="23"/>
        <v/>
      </c>
    </row>
    <row r="492" spans="1:10" hidden="1" x14ac:dyDescent="0.35">
      <c r="A492" t="s">
        <v>1014</v>
      </c>
      <c r="B492" t="s">
        <v>1015</v>
      </c>
      <c r="C492" t="s">
        <v>868</v>
      </c>
      <c r="D492" t="s">
        <v>869</v>
      </c>
      <c r="E492">
        <v>0</v>
      </c>
      <c r="F492">
        <v>0</v>
      </c>
      <c r="G492">
        <f t="shared" si="22"/>
        <v>0</v>
      </c>
      <c r="H492">
        <f t="shared" si="21"/>
        <v>0</v>
      </c>
      <c r="I492" t="str">
        <f>_xlfn.XLOOKUP(A492,'[1]Forecast 2026'!$A:$A,'[1]Forecast 2026'!$AJ:$AJ,"NA",0,1)</f>
        <v>NA</v>
      </c>
      <c r="J492" t="str">
        <f t="shared" si="23"/>
        <v/>
      </c>
    </row>
    <row r="493" spans="1:10" hidden="1" x14ac:dyDescent="0.35">
      <c r="A493" t="s">
        <v>1016</v>
      </c>
      <c r="B493" t="s">
        <v>1017</v>
      </c>
      <c r="C493" t="s">
        <v>868</v>
      </c>
      <c r="D493" t="s">
        <v>869</v>
      </c>
      <c r="E493">
        <v>0</v>
      </c>
      <c r="F493">
        <v>0</v>
      </c>
      <c r="G493">
        <f t="shared" si="22"/>
        <v>0</v>
      </c>
      <c r="H493">
        <f t="shared" si="21"/>
        <v>0</v>
      </c>
      <c r="I493" t="str">
        <f>_xlfn.XLOOKUP(A493,'[1]Forecast 2026'!$A:$A,'[1]Forecast 2026'!$AJ:$AJ,"NA",0,1)</f>
        <v>NA</v>
      </c>
      <c r="J493" t="str">
        <f t="shared" si="23"/>
        <v/>
      </c>
    </row>
    <row r="494" spans="1:10" hidden="1" x14ac:dyDescent="0.35">
      <c r="A494" t="s">
        <v>1018</v>
      </c>
      <c r="B494" t="s">
        <v>1019</v>
      </c>
      <c r="C494" t="s">
        <v>868</v>
      </c>
      <c r="D494" t="s">
        <v>869</v>
      </c>
      <c r="E494">
        <v>0</v>
      </c>
      <c r="F494">
        <v>0</v>
      </c>
      <c r="G494">
        <f t="shared" si="22"/>
        <v>0</v>
      </c>
      <c r="H494">
        <f t="shared" si="21"/>
        <v>0</v>
      </c>
      <c r="I494" t="str">
        <f>_xlfn.XLOOKUP(A494,'[1]Forecast 2026'!$A:$A,'[1]Forecast 2026'!$AJ:$AJ,"NA",0,1)</f>
        <v>NA</v>
      </c>
      <c r="J494" t="str">
        <f t="shared" si="23"/>
        <v/>
      </c>
    </row>
    <row r="495" spans="1:10" hidden="1" x14ac:dyDescent="0.35">
      <c r="A495" t="s">
        <v>1020</v>
      </c>
      <c r="B495" t="s">
        <v>1021</v>
      </c>
      <c r="C495" t="s">
        <v>868</v>
      </c>
      <c r="D495" t="s">
        <v>869</v>
      </c>
      <c r="E495">
        <v>0</v>
      </c>
      <c r="F495">
        <v>0</v>
      </c>
      <c r="G495">
        <f t="shared" si="22"/>
        <v>0</v>
      </c>
      <c r="H495">
        <f t="shared" si="21"/>
        <v>0</v>
      </c>
      <c r="I495" t="str">
        <f>_xlfn.XLOOKUP(A495,'[1]Forecast 2026'!$A:$A,'[1]Forecast 2026'!$AJ:$AJ,"NA",0,1)</f>
        <v>NA</v>
      </c>
      <c r="J495" t="str">
        <f t="shared" si="23"/>
        <v/>
      </c>
    </row>
    <row r="496" spans="1:10" hidden="1" x14ac:dyDescent="0.35">
      <c r="A496" t="s">
        <v>1022</v>
      </c>
      <c r="B496" t="s">
        <v>1023</v>
      </c>
      <c r="C496" t="s">
        <v>868</v>
      </c>
      <c r="D496" t="s">
        <v>869</v>
      </c>
      <c r="E496">
        <v>0</v>
      </c>
      <c r="F496">
        <v>0</v>
      </c>
      <c r="G496">
        <f t="shared" si="22"/>
        <v>0</v>
      </c>
      <c r="H496">
        <f t="shared" si="21"/>
        <v>0</v>
      </c>
      <c r="I496" t="str">
        <f>_xlfn.XLOOKUP(A496,'[1]Forecast 2026'!$A:$A,'[1]Forecast 2026'!$AJ:$AJ,"NA",0,1)</f>
        <v>NA</v>
      </c>
      <c r="J496" t="str">
        <f t="shared" si="23"/>
        <v/>
      </c>
    </row>
    <row r="497" spans="1:10" hidden="1" x14ac:dyDescent="0.35">
      <c r="A497" t="s">
        <v>1024</v>
      </c>
      <c r="B497" t="s">
        <v>1025</v>
      </c>
      <c r="C497" t="s">
        <v>868</v>
      </c>
      <c r="D497" t="s">
        <v>869</v>
      </c>
      <c r="E497">
        <v>0</v>
      </c>
      <c r="F497">
        <v>0</v>
      </c>
      <c r="G497">
        <f t="shared" si="22"/>
        <v>0</v>
      </c>
      <c r="H497">
        <f t="shared" si="21"/>
        <v>0</v>
      </c>
      <c r="I497" t="str">
        <f>_xlfn.XLOOKUP(A497,'[1]Forecast 2026'!$A:$A,'[1]Forecast 2026'!$AJ:$AJ,"NA",0,1)</f>
        <v>NA</v>
      </c>
      <c r="J497" t="str">
        <f t="shared" si="23"/>
        <v/>
      </c>
    </row>
    <row r="498" spans="1:10" hidden="1" x14ac:dyDescent="0.35">
      <c r="A498" t="s">
        <v>1026</v>
      </c>
      <c r="B498" t="s">
        <v>1027</v>
      </c>
      <c r="C498" t="s">
        <v>868</v>
      </c>
      <c r="D498" t="s">
        <v>869</v>
      </c>
      <c r="E498">
        <v>0</v>
      </c>
      <c r="F498">
        <v>0</v>
      </c>
      <c r="G498">
        <f t="shared" si="22"/>
        <v>0</v>
      </c>
      <c r="H498">
        <f t="shared" si="21"/>
        <v>0</v>
      </c>
      <c r="I498" t="str">
        <f>_xlfn.XLOOKUP(A498,'[1]Forecast 2026'!$A:$A,'[1]Forecast 2026'!$AJ:$AJ,"NA",0,1)</f>
        <v>NA</v>
      </c>
      <c r="J498" t="str">
        <f t="shared" si="23"/>
        <v/>
      </c>
    </row>
    <row r="499" spans="1:10" hidden="1" x14ac:dyDescent="0.35">
      <c r="A499" t="s">
        <v>1028</v>
      </c>
      <c r="B499" t="s">
        <v>1029</v>
      </c>
      <c r="C499" t="s">
        <v>868</v>
      </c>
      <c r="D499" t="s">
        <v>869</v>
      </c>
      <c r="E499">
        <v>0</v>
      </c>
      <c r="F499">
        <v>0</v>
      </c>
      <c r="G499">
        <f t="shared" si="22"/>
        <v>0</v>
      </c>
      <c r="H499">
        <f t="shared" si="21"/>
        <v>0</v>
      </c>
      <c r="I499" t="str">
        <f>_xlfn.XLOOKUP(A499,'[1]Forecast 2026'!$A:$A,'[1]Forecast 2026'!$AJ:$AJ,"NA",0,1)</f>
        <v>NA</v>
      </c>
      <c r="J499" t="str">
        <f t="shared" si="23"/>
        <v/>
      </c>
    </row>
    <row r="500" spans="1:10" hidden="1" x14ac:dyDescent="0.35">
      <c r="A500" t="s">
        <v>1030</v>
      </c>
      <c r="B500" t="s">
        <v>1031</v>
      </c>
      <c r="C500" t="s">
        <v>868</v>
      </c>
      <c r="D500" t="s">
        <v>869</v>
      </c>
      <c r="E500">
        <v>0</v>
      </c>
      <c r="F500">
        <v>0</v>
      </c>
      <c r="G500">
        <f t="shared" si="22"/>
        <v>0</v>
      </c>
      <c r="H500">
        <f t="shared" si="21"/>
        <v>0</v>
      </c>
      <c r="I500" t="str">
        <f>_xlfn.XLOOKUP(A500,'[1]Forecast 2026'!$A:$A,'[1]Forecast 2026'!$AJ:$AJ,"NA",0,1)</f>
        <v>NA</v>
      </c>
      <c r="J500" t="str">
        <f t="shared" si="23"/>
        <v/>
      </c>
    </row>
    <row r="501" spans="1:10" hidden="1" x14ac:dyDescent="0.35">
      <c r="A501" t="s">
        <v>1032</v>
      </c>
      <c r="B501" t="s">
        <v>1033</v>
      </c>
      <c r="C501" t="s">
        <v>868</v>
      </c>
      <c r="D501" t="s">
        <v>869</v>
      </c>
      <c r="E501">
        <v>0</v>
      </c>
      <c r="F501">
        <v>0</v>
      </c>
      <c r="G501">
        <f t="shared" si="22"/>
        <v>0</v>
      </c>
      <c r="H501">
        <f t="shared" si="21"/>
        <v>0</v>
      </c>
      <c r="I501" t="str">
        <f>_xlfn.XLOOKUP(A501,'[1]Forecast 2026'!$A:$A,'[1]Forecast 2026'!$AJ:$AJ,"NA",0,1)</f>
        <v>NA</v>
      </c>
      <c r="J501" t="str">
        <f t="shared" si="23"/>
        <v/>
      </c>
    </row>
    <row r="502" spans="1:10" hidden="1" x14ac:dyDescent="0.35">
      <c r="A502" t="s">
        <v>1034</v>
      </c>
      <c r="B502" t="s">
        <v>1035</v>
      </c>
      <c r="C502" t="s">
        <v>868</v>
      </c>
      <c r="D502" t="s">
        <v>869</v>
      </c>
      <c r="E502">
        <v>0</v>
      </c>
      <c r="F502">
        <v>0</v>
      </c>
      <c r="G502">
        <f t="shared" si="22"/>
        <v>0</v>
      </c>
      <c r="H502">
        <f t="shared" si="21"/>
        <v>0</v>
      </c>
      <c r="I502" t="str">
        <f>_xlfn.XLOOKUP(A502,'[1]Forecast 2026'!$A:$A,'[1]Forecast 2026'!$AJ:$AJ,"NA",0,1)</f>
        <v>NA</v>
      </c>
      <c r="J502" t="str">
        <f t="shared" si="23"/>
        <v/>
      </c>
    </row>
    <row r="503" spans="1:10" hidden="1" x14ac:dyDescent="0.35">
      <c r="A503" t="s">
        <v>1036</v>
      </c>
      <c r="B503" t="s">
        <v>1037</v>
      </c>
      <c r="C503" t="s">
        <v>868</v>
      </c>
      <c r="D503" t="s">
        <v>869</v>
      </c>
      <c r="E503">
        <v>0</v>
      </c>
      <c r="F503">
        <v>0</v>
      </c>
      <c r="G503">
        <f t="shared" si="22"/>
        <v>0</v>
      </c>
      <c r="H503">
        <f t="shared" si="21"/>
        <v>0</v>
      </c>
      <c r="I503" t="str">
        <f>_xlfn.XLOOKUP(A503,'[1]Forecast 2026'!$A:$A,'[1]Forecast 2026'!$AJ:$AJ,"NA",0,1)</f>
        <v>NA</v>
      </c>
      <c r="J503" t="str">
        <f t="shared" si="23"/>
        <v/>
      </c>
    </row>
    <row r="504" spans="1:10" hidden="1" x14ac:dyDescent="0.35">
      <c r="A504" t="s">
        <v>1038</v>
      </c>
      <c r="B504" t="s">
        <v>1039</v>
      </c>
      <c r="C504" t="s">
        <v>868</v>
      </c>
      <c r="D504" t="s">
        <v>869</v>
      </c>
      <c r="E504">
        <v>0</v>
      </c>
      <c r="F504">
        <v>0</v>
      </c>
      <c r="G504">
        <f t="shared" si="22"/>
        <v>0</v>
      </c>
      <c r="H504">
        <f t="shared" si="21"/>
        <v>0</v>
      </c>
      <c r="I504" t="str">
        <f>_xlfn.XLOOKUP(A504,'[1]Forecast 2026'!$A:$A,'[1]Forecast 2026'!$AJ:$AJ,"NA",0,1)</f>
        <v>NA</v>
      </c>
      <c r="J504" t="str">
        <f t="shared" si="23"/>
        <v/>
      </c>
    </row>
    <row r="505" spans="1:10" hidden="1" x14ac:dyDescent="0.35">
      <c r="A505" t="s">
        <v>1040</v>
      </c>
      <c r="B505" t="s">
        <v>1041</v>
      </c>
      <c r="C505" t="s">
        <v>868</v>
      </c>
      <c r="D505" t="s">
        <v>869</v>
      </c>
      <c r="E505">
        <v>0</v>
      </c>
      <c r="F505">
        <v>0</v>
      </c>
      <c r="G505">
        <f t="shared" si="22"/>
        <v>0</v>
      </c>
      <c r="H505">
        <f t="shared" si="21"/>
        <v>0</v>
      </c>
      <c r="I505" t="str">
        <f>_xlfn.XLOOKUP(A505,'[1]Forecast 2026'!$A:$A,'[1]Forecast 2026'!$AJ:$AJ,"NA",0,1)</f>
        <v>NA</v>
      </c>
      <c r="J505" t="str">
        <f t="shared" si="23"/>
        <v/>
      </c>
    </row>
    <row r="506" spans="1:10" hidden="1" x14ac:dyDescent="0.35">
      <c r="A506" t="s">
        <v>1042</v>
      </c>
      <c r="B506" t="s">
        <v>1043</v>
      </c>
      <c r="C506" t="s">
        <v>868</v>
      </c>
      <c r="D506" t="s">
        <v>869</v>
      </c>
      <c r="E506">
        <v>0</v>
      </c>
      <c r="F506">
        <v>0</v>
      </c>
      <c r="G506">
        <f t="shared" si="22"/>
        <v>0</v>
      </c>
      <c r="H506">
        <f t="shared" si="21"/>
        <v>0</v>
      </c>
      <c r="I506" t="str">
        <f>_xlfn.XLOOKUP(A506,'[1]Forecast 2026'!$A:$A,'[1]Forecast 2026'!$AJ:$AJ,"NA",0,1)</f>
        <v>NA</v>
      </c>
      <c r="J506" t="str">
        <f t="shared" si="23"/>
        <v/>
      </c>
    </row>
    <row r="507" spans="1:10" hidden="1" x14ac:dyDescent="0.35">
      <c r="A507" t="s">
        <v>1044</v>
      </c>
      <c r="B507" t="s">
        <v>1045</v>
      </c>
      <c r="C507" t="s">
        <v>868</v>
      </c>
      <c r="D507" t="s">
        <v>869</v>
      </c>
      <c r="E507">
        <v>0</v>
      </c>
      <c r="F507">
        <v>0</v>
      </c>
      <c r="G507">
        <f t="shared" si="22"/>
        <v>0</v>
      </c>
      <c r="H507">
        <f t="shared" si="21"/>
        <v>0</v>
      </c>
      <c r="I507" t="str">
        <f>_xlfn.XLOOKUP(A507,'[1]Forecast 2026'!$A:$A,'[1]Forecast 2026'!$AJ:$AJ,"NA",0,1)</f>
        <v>NA</v>
      </c>
      <c r="J507" t="str">
        <f t="shared" si="23"/>
        <v/>
      </c>
    </row>
    <row r="508" spans="1:10" hidden="1" x14ac:dyDescent="0.35">
      <c r="A508" t="s">
        <v>1046</v>
      </c>
      <c r="B508" t="s">
        <v>1047</v>
      </c>
      <c r="C508" t="s">
        <v>868</v>
      </c>
      <c r="D508" t="s">
        <v>869</v>
      </c>
      <c r="E508">
        <v>0</v>
      </c>
      <c r="F508">
        <v>0</v>
      </c>
      <c r="G508">
        <f t="shared" si="22"/>
        <v>0</v>
      </c>
      <c r="H508">
        <f t="shared" si="21"/>
        <v>0</v>
      </c>
      <c r="I508" t="str">
        <f>_xlfn.XLOOKUP(A508,'[1]Forecast 2026'!$A:$A,'[1]Forecast 2026'!$AJ:$AJ,"NA",0,1)</f>
        <v>NA</v>
      </c>
      <c r="J508" t="str">
        <f t="shared" si="23"/>
        <v/>
      </c>
    </row>
    <row r="509" spans="1:10" hidden="1" x14ac:dyDescent="0.35">
      <c r="A509" t="s">
        <v>1048</v>
      </c>
      <c r="B509" t="s">
        <v>1049</v>
      </c>
      <c r="C509" t="s">
        <v>868</v>
      </c>
      <c r="D509" t="s">
        <v>869</v>
      </c>
      <c r="E509">
        <v>0</v>
      </c>
      <c r="F509">
        <v>0</v>
      </c>
      <c r="G509">
        <f t="shared" si="22"/>
        <v>0</v>
      </c>
      <c r="H509">
        <f t="shared" si="21"/>
        <v>0</v>
      </c>
      <c r="I509" t="str">
        <f>_xlfn.XLOOKUP(A509,'[1]Forecast 2026'!$A:$A,'[1]Forecast 2026'!$AJ:$AJ,"NA",0,1)</f>
        <v>NA</v>
      </c>
      <c r="J509" t="str">
        <f t="shared" si="23"/>
        <v/>
      </c>
    </row>
    <row r="510" spans="1:10" hidden="1" x14ac:dyDescent="0.35">
      <c r="A510" t="s">
        <v>1050</v>
      </c>
      <c r="B510" t="s">
        <v>1051</v>
      </c>
      <c r="C510" t="s">
        <v>868</v>
      </c>
      <c r="D510" t="s">
        <v>869</v>
      </c>
      <c r="E510">
        <v>0</v>
      </c>
      <c r="F510">
        <v>0</v>
      </c>
      <c r="G510">
        <f t="shared" si="22"/>
        <v>0</v>
      </c>
      <c r="H510">
        <f t="shared" si="21"/>
        <v>0</v>
      </c>
      <c r="I510" t="str">
        <f>_xlfn.XLOOKUP(A510,'[1]Forecast 2026'!$A:$A,'[1]Forecast 2026'!$AJ:$AJ,"NA",0,1)</f>
        <v>NA</v>
      </c>
      <c r="J510" t="str">
        <f t="shared" si="23"/>
        <v/>
      </c>
    </row>
    <row r="511" spans="1:10" hidden="1" x14ac:dyDescent="0.35">
      <c r="A511" t="s">
        <v>1052</v>
      </c>
      <c r="B511" t="s">
        <v>1053</v>
      </c>
      <c r="C511" t="s">
        <v>868</v>
      </c>
      <c r="D511" t="s">
        <v>869</v>
      </c>
      <c r="E511">
        <v>0</v>
      </c>
      <c r="F511">
        <v>0</v>
      </c>
      <c r="G511">
        <f t="shared" si="22"/>
        <v>0</v>
      </c>
      <c r="H511">
        <f t="shared" si="21"/>
        <v>0</v>
      </c>
      <c r="I511" t="str">
        <f>_xlfn.XLOOKUP(A511,'[1]Forecast 2026'!$A:$A,'[1]Forecast 2026'!$AJ:$AJ,"NA",0,1)</f>
        <v>NA</v>
      </c>
      <c r="J511" t="str">
        <f t="shared" si="23"/>
        <v/>
      </c>
    </row>
    <row r="512" spans="1:10" hidden="1" x14ac:dyDescent="0.35">
      <c r="A512" t="s">
        <v>1054</v>
      </c>
      <c r="B512" t="s">
        <v>1055</v>
      </c>
      <c r="C512" t="s">
        <v>868</v>
      </c>
      <c r="D512" t="s">
        <v>869</v>
      </c>
      <c r="E512">
        <v>0</v>
      </c>
      <c r="F512">
        <v>0</v>
      </c>
      <c r="G512">
        <f t="shared" si="22"/>
        <v>0</v>
      </c>
      <c r="H512">
        <f t="shared" si="21"/>
        <v>0</v>
      </c>
      <c r="I512" t="str">
        <f>_xlfn.XLOOKUP(A512,'[1]Forecast 2026'!$A:$A,'[1]Forecast 2026'!$AJ:$AJ,"NA",0,1)</f>
        <v>NA</v>
      </c>
      <c r="J512" t="str">
        <f t="shared" si="23"/>
        <v/>
      </c>
    </row>
    <row r="513" spans="1:10" hidden="1" x14ac:dyDescent="0.35">
      <c r="A513" t="s">
        <v>1056</v>
      </c>
      <c r="B513" t="s">
        <v>1057</v>
      </c>
      <c r="C513" t="s">
        <v>868</v>
      </c>
      <c r="D513" t="s">
        <v>869</v>
      </c>
      <c r="E513">
        <v>0</v>
      </c>
      <c r="F513">
        <v>0</v>
      </c>
      <c r="G513">
        <f t="shared" si="22"/>
        <v>0</v>
      </c>
      <c r="H513">
        <f t="shared" si="21"/>
        <v>0</v>
      </c>
      <c r="I513" t="str">
        <f>_xlfn.XLOOKUP(A513,'[1]Forecast 2026'!$A:$A,'[1]Forecast 2026'!$AJ:$AJ,"NA",0,1)</f>
        <v>NA</v>
      </c>
      <c r="J513" t="str">
        <f t="shared" si="23"/>
        <v/>
      </c>
    </row>
    <row r="514" spans="1:10" hidden="1" x14ac:dyDescent="0.35">
      <c r="A514" t="s">
        <v>1058</v>
      </c>
      <c r="B514" t="s">
        <v>1059</v>
      </c>
      <c r="C514" t="s">
        <v>868</v>
      </c>
      <c r="D514" t="s">
        <v>869</v>
      </c>
      <c r="E514">
        <v>0</v>
      </c>
      <c r="F514">
        <v>0</v>
      </c>
      <c r="G514">
        <f t="shared" si="22"/>
        <v>0</v>
      </c>
      <c r="H514">
        <f t="shared" si="21"/>
        <v>0</v>
      </c>
      <c r="I514" t="str">
        <f>_xlfn.XLOOKUP(A514,'[1]Forecast 2026'!$A:$A,'[1]Forecast 2026'!$AJ:$AJ,"NA",0,1)</f>
        <v>NA</v>
      </c>
      <c r="J514" t="str">
        <f t="shared" si="23"/>
        <v/>
      </c>
    </row>
    <row r="515" spans="1:10" hidden="1" x14ac:dyDescent="0.35">
      <c r="A515" t="s">
        <v>1060</v>
      </c>
      <c r="B515" t="s">
        <v>1061</v>
      </c>
      <c r="C515" t="s">
        <v>868</v>
      </c>
      <c r="D515" t="s">
        <v>869</v>
      </c>
      <c r="E515">
        <v>0</v>
      </c>
      <c r="F515">
        <v>0</v>
      </c>
      <c r="G515">
        <f t="shared" si="22"/>
        <v>0</v>
      </c>
      <c r="H515">
        <f t="shared" ref="H515:H578" si="24">E515-G515</f>
        <v>0</v>
      </c>
      <c r="I515" t="str">
        <f>_xlfn.XLOOKUP(A515,'[1]Forecast 2026'!$A:$A,'[1]Forecast 2026'!$AJ:$AJ,"NA",0,1)</f>
        <v>NA</v>
      </c>
      <c r="J515" t="str">
        <f t="shared" si="23"/>
        <v/>
      </c>
    </row>
    <row r="516" spans="1:10" hidden="1" x14ac:dyDescent="0.35">
      <c r="A516" t="s">
        <v>1062</v>
      </c>
      <c r="B516" t="s">
        <v>1063</v>
      </c>
      <c r="C516" t="s">
        <v>868</v>
      </c>
      <c r="D516" t="s">
        <v>869</v>
      </c>
      <c r="E516">
        <v>0</v>
      </c>
      <c r="F516">
        <v>0</v>
      </c>
      <c r="G516">
        <f t="shared" ref="G516:G579" si="25">F516*E516</f>
        <v>0</v>
      </c>
      <c r="H516">
        <f t="shared" si="24"/>
        <v>0</v>
      </c>
      <c r="I516" t="str">
        <f>_xlfn.XLOOKUP(A516,'[1]Forecast 2026'!$A:$A,'[1]Forecast 2026'!$AJ:$AJ,"NA",0,1)</f>
        <v>NA</v>
      </c>
      <c r="J516" t="str">
        <f t="shared" ref="J516:J579" si="26">IFERROR(E516-I516,"")</f>
        <v/>
      </c>
    </row>
    <row r="517" spans="1:10" hidden="1" x14ac:dyDescent="0.35">
      <c r="A517" t="s">
        <v>1064</v>
      </c>
      <c r="B517" t="s">
        <v>1065</v>
      </c>
      <c r="C517" t="s">
        <v>868</v>
      </c>
      <c r="D517" t="s">
        <v>869</v>
      </c>
      <c r="E517">
        <v>0</v>
      </c>
      <c r="F517">
        <v>0</v>
      </c>
      <c r="G517">
        <f t="shared" si="25"/>
        <v>0</v>
      </c>
      <c r="H517">
        <f t="shared" si="24"/>
        <v>0</v>
      </c>
      <c r="I517" t="str">
        <f>_xlfn.XLOOKUP(A517,'[1]Forecast 2026'!$A:$A,'[1]Forecast 2026'!$AJ:$AJ,"NA",0,1)</f>
        <v>NA</v>
      </c>
      <c r="J517" t="str">
        <f t="shared" si="26"/>
        <v/>
      </c>
    </row>
    <row r="518" spans="1:10" hidden="1" x14ac:dyDescent="0.35">
      <c r="A518" t="s">
        <v>1066</v>
      </c>
      <c r="B518" t="s">
        <v>1067</v>
      </c>
      <c r="C518" t="s">
        <v>868</v>
      </c>
      <c r="D518" t="s">
        <v>869</v>
      </c>
      <c r="E518">
        <v>0</v>
      </c>
      <c r="F518">
        <v>0</v>
      </c>
      <c r="G518">
        <f t="shared" si="25"/>
        <v>0</v>
      </c>
      <c r="H518">
        <f t="shared" si="24"/>
        <v>0</v>
      </c>
      <c r="I518" t="str">
        <f>_xlfn.XLOOKUP(A518,'[1]Forecast 2026'!$A:$A,'[1]Forecast 2026'!$AJ:$AJ,"NA",0,1)</f>
        <v>NA</v>
      </c>
      <c r="J518" t="str">
        <f t="shared" si="26"/>
        <v/>
      </c>
    </row>
    <row r="519" spans="1:10" hidden="1" x14ac:dyDescent="0.35">
      <c r="A519" t="s">
        <v>1068</v>
      </c>
      <c r="B519" t="s">
        <v>1069</v>
      </c>
      <c r="C519" t="s">
        <v>868</v>
      </c>
      <c r="D519" t="s">
        <v>869</v>
      </c>
      <c r="E519">
        <v>0</v>
      </c>
      <c r="F519">
        <v>0</v>
      </c>
      <c r="G519">
        <f t="shared" si="25"/>
        <v>0</v>
      </c>
      <c r="H519">
        <f t="shared" si="24"/>
        <v>0</v>
      </c>
      <c r="I519" t="str">
        <f>_xlfn.XLOOKUP(A519,'[1]Forecast 2026'!$A:$A,'[1]Forecast 2026'!$AJ:$AJ,"NA",0,1)</f>
        <v>NA</v>
      </c>
      <c r="J519" t="str">
        <f t="shared" si="26"/>
        <v/>
      </c>
    </row>
    <row r="520" spans="1:10" hidden="1" x14ac:dyDescent="0.35">
      <c r="A520" t="s">
        <v>1070</v>
      </c>
      <c r="B520" t="s">
        <v>1071</v>
      </c>
      <c r="C520" t="s">
        <v>868</v>
      </c>
      <c r="D520" t="s">
        <v>869</v>
      </c>
      <c r="E520">
        <v>0</v>
      </c>
      <c r="F520">
        <v>0</v>
      </c>
      <c r="G520">
        <f t="shared" si="25"/>
        <v>0</v>
      </c>
      <c r="H520">
        <f t="shared" si="24"/>
        <v>0</v>
      </c>
      <c r="I520" t="str">
        <f>_xlfn.XLOOKUP(A520,'[1]Forecast 2026'!$A:$A,'[1]Forecast 2026'!$AJ:$AJ,"NA",0,1)</f>
        <v>NA</v>
      </c>
      <c r="J520" t="str">
        <f t="shared" si="26"/>
        <v/>
      </c>
    </row>
    <row r="521" spans="1:10" hidden="1" x14ac:dyDescent="0.35">
      <c r="A521" t="s">
        <v>1072</v>
      </c>
      <c r="B521" t="s">
        <v>1073</v>
      </c>
      <c r="C521" t="s">
        <v>868</v>
      </c>
      <c r="D521" t="s">
        <v>869</v>
      </c>
      <c r="E521">
        <v>0</v>
      </c>
      <c r="F521">
        <v>0</v>
      </c>
      <c r="G521">
        <f t="shared" si="25"/>
        <v>0</v>
      </c>
      <c r="H521">
        <f t="shared" si="24"/>
        <v>0</v>
      </c>
      <c r="I521" t="str">
        <f>_xlfn.XLOOKUP(A521,'[1]Forecast 2026'!$A:$A,'[1]Forecast 2026'!$AJ:$AJ,"NA",0,1)</f>
        <v>NA</v>
      </c>
      <c r="J521" t="str">
        <f t="shared" si="26"/>
        <v/>
      </c>
    </row>
    <row r="522" spans="1:10" hidden="1" x14ac:dyDescent="0.35">
      <c r="A522" t="s">
        <v>1074</v>
      </c>
      <c r="B522" t="s">
        <v>1075</v>
      </c>
      <c r="C522" t="s">
        <v>868</v>
      </c>
      <c r="D522" t="s">
        <v>869</v>
      </c>
      <c r="E522">
        <v>0</v>
      </c>
      <c r="F522">
        <v>0</v>
      </c>
      <c r="G522">
        <f t="shared" si="25"/>
        <v>0</v>
      </c>
      <c r="H522">
        <f t="shared" si="24"/>
        <v>0</v>
      </c>
      <c r="I522" t="str">
        <f>_xlfn.XLOOKUP(A522,'[1]Forecast 2026'!$A:$A,'[1]Forecast 2026'!$AJ:$AJ,"NA",0,1)</f>
        <v>NA</v>
      </c>
      <c r="J522" t="str">
        <f t="shared" si="26"/>
        <v/>
      </c>
    </row>
    <row r="523" spans="1:10" hidden="1" x14ac:dyDescent="0.35">
      <c r="A523" t="s">
        <v>1076</v>
      </c>
      <c r="B523" t="s">
        <v>1077</v>
      </c>
      <c r="C523" t="s">
        <v>868</v>
      </c>
      <c r="D523" t="s">
        <v>869</v>
      </c>
      <c r="E523">
        <v>0</v>
      </c>
      <c r="F523">
        <v>0</v>
      </c>
      <c r="G523">
        <f t="shared" si="25"/>
        <v>0</v>
      </c>
      <c r="H523">
        <f t="shared" si="24"/>
        <v>0</v>
      </c>
      <c r="I523" t="str">
        <f>_xlfn.XLOOKUP(A523,'[1]Forecast 2026'!$A:$A,'[1]Forecast 2026'!$AJ:$AJ,"NA",0,1)</f>
        <v>NA</v>
      </c>
      <c r="J523" t="str">
        <f t="shared" si="26"/>
        <v/>
      </c>
    </row>
    <row r="524" spans="1:10" hidden="1" x14ac:dyDescent="0.35">
      <c r="A524" t="s">
        <v>1078</v>
      </c>
      <c r="B524" t="s">
        <v>1079</v>
      </c>
      <c r="C524" t="s">
        <v>868</v>
      </c>
      <c r="D524" t="s">
        <v>869</v>
      </c>
      <c r="E524">
        <v>0</v>
      </c>
      <c r="F524">
        <v>0</v>
      </c>
      <c r="G524">
        <f t="shared" si="25"/>
        <v>0</v>
      </c>
      <c r="H524">
        <f t="shared" si="24"/>
        <v>0</v>
      </c>
      <c r="I524" t="str">
        <f>_xlfn.XLOOKUP(A524,'[1]Forecast 2026'!$A:$A,'[1]Forecast 2026'!$AJ:$AJ,"NA",0,1)</f>
        <v>NA</v>
      </c>
      <c r="J524" t="str">
        <f t="shared" si="26"/>
        <v/>
      </c>
    </row>
    <row r="525" spans="1:10" hidden="1" x14ac:dyDescent="0.35">
      <c r="A525" t="s">
        <v>1080</v>
      </c>
      <c r="B525" t="s">
        <v>1081</v>
      </c>
      <c r="C525" t="s">
        <v>868</v>
      </c>
      <c r="D525" t="s">
        <v>869</v>
      </c>
      <c r="E525">
        <v>0</v>
      </c>
      <c r="F525">
        <v>0</v>
      </c>
      <c r="G525">
        <f t="shared" si="25"/>
        <v>0</v>
      </c>
      <c r="H525">
        <f t="shared" si="24"/>
        <v>0</v>
      </c>
      <c r="I525" t="str">
        <f>_xlfn.XLOOKUP(A525,'[1]Forecast 2026'!$A:$A,'[1]Forecast 2026'!$AJ:$AJ,"NA",0,1)</f>
        <v>NA</v>
      </c>
      <c r="J525" t="str">
        <f t="shared" si="26"/>
        <v/>
      </c>
    </row>
    <row r="526" spans="1:10" hidden="1" x14ac:dyDescent="0.35">
      <c r="A526" t="s">
        <v>1082</v>
      </c>
      <c r="B526" t="s">
        <v>1083</v>
      </c>
      <c r="C526" t="s">
        <v>868</v>
      </c>
      <c r="D526" t="s">
        <v>869</v>
      </c>
      <c r="E526">
        <v>0</v>
      </c>
      <c r="F526">
        <v>0</v>
      </c>
      <c r="G526">
        <f t="shared" si="25"/>
        <v>0</v>
      </c>
      <c r="H526">
        <f t="shared" si="24"/>
        <v>0</v>
      </c>
      <c r="I526" t="str">
        <f>_xlfn.XLOOKUP(A526,'[1]Forecast 2026'!$A:$A,'[1]Forecast 2026'!$AJ:$AJ,"NA",0,1)</f>
        <v>NA</v>
      </c>
      <c r="J526" t="str">
        <f t="shared" si="26"/>
        <v/>
      </c>
    </row>
    <row r="527" spans="1:10" hidden="1" x14ac:dyDescent="0.35">
      <c r="A527" t="s">
        <v>1084</v>
      </c>
      <c r="B527" t="s">
        <v>1085</v>
      </c>
      <c r="C527" t="s">
        <v>868</v>
      </c>
      <c r="D527" t="s">
        <v>869</v>
      </c>
      <c r="E527">
        <v>0</v>
      </c>
      <c r="F527">
        <v>0</v>
      </c>
      <c r="G527">
        <f t="shared" si="25"/>
        <v>0</v>
      </c>
      <c r="H527">
        <f t="shared" si="24"/>
        <v>0</v>
      </c>
      <c r="I527" t="str">
        <f>_xlfn.XLOOKUP(A527,'[1]Forecast 2026'!$A:$A,'[1]Forecast 2026'!$AJ:$AJ,"NA",0,1)</f>
        <v>NA</v>
      </c>
      <c r="J527" t="str">
        <f t="shared" si="26"/>
        <v/>
      </c>
    </row>
    <row r="528" spans="1:10" hidden="1" x14ac:dyDescent="0.35">
      <c r="A528" t="s">
        <v>1086</v>
      </c>
      <c r="B528" t="s">
        <v>1087</v>
      </c>
      <c r="C528" t="s">
        <v>868</v>
      </c>
      <c r="D528" t="s">
        <v>869</v>
      </c>
      <c r="E528">
        <v>0</v>
      </c>
      <c r="F528">
        <v>0</v>
      </c>
      <c r="G528">
        <f t="shared" si="25"/>
        <v>0</v>
      </c>
      <c r="H528">
        <f t="shared" si="24"/>
        <v>0</v>
      </c>
      <c r="I528" t="str">
        <f>_xlfn.XLOOKUP(A528,'[1]Forecast 2026'!$A:$A,'[1]Forecast 2026'!$AJ:$AJ,"NA",0,1)</f>
        <v>NA</v>
      </c>
      <c r="J528" t="str">
        <f t="shared" si="26"/>
        <v/>
      </c>
    </row>
    <row r="529" spans="1:10" hidden="1" x14ac:dyDescent="0.35">
      <c r="A529" t="s">
        <v>1088</v>
      </c>
      <c r="B529" t="s">
        <v>1089</v>
      </c>
      <c r="C529" t="s">
        <v>868</v>
      </c>
      <c r="D529" t="s">
        <v>869</v>
      </c>
      <c r="E529">
        <v>0</v>
      </c>
      <c r="F529">
        <v>0</v>
      </c>
      <c r="G529">
        <f t="shared" si="25"/>
        <v>0</v>
      </c>
      <c r="H529">
        <f t="shared" si="24"/>
        <v>0</v>
      </c>
      <c r="I529" t="str">
        <f>_xlfn.XLOOKUP(A529,'[1]Forecast 2026'!$A:$A,'[1]Forecast 2026'!$AJ:$AJ,"NA",0,1)</f>
        <v>NA</v>
      </c>
      <c r="J529" t="str">
        <f t="shared" si="26"/>
        <v/>
      </c>
    </row>
    <row r="530" spans="1:10" hidden="1" x14ac:dyDescent="0.35">
      <c r="A530" t="s">
        <v>1090</v>
      </c>
      <c r="B530" t="s">
        <v>1091</v>
      </c>
      <c r="C530" t="s">
        <v>868</v>
      </c>
      <c r="D530" t="s">
        <v>869</v>
      </c>
      <c r="E530">
        <v>0</v>
      </c>
      <c r="F530">
        <v>0</v>
      </c>
      <c r="G530">
        <f t="shared" si="25"/>
        <v>0</v>
      </c>
      <c r="H530">
        <f t="shared" si="24"/>
        <v>0</v>
      </c>
      <c r="I530" t="str">
        <f>_xlfn.XLOOKUP(A530,'[1]Forecast 2026'!$A:$A,'[1]Forecast 2026'!$AJ:$AJ,"NA",0,1)</f>
        <v>NA</v>
      </c>
      <c r="J530" t="str">
        <f t="shared" si="26"/>
        <v/>
      </c>
    </row>
    <row r="531" spans="1:10" hidden="1" x14ac:dyDescent="0.35">
      <c r="A531" t="s">
        <v>1092</v>
      </c>
      <c r="B531" t="s">
        <v>1093</v>
      </c>
      <c r="C531" t="s">
        <v>868</v>
      </c>
      <c r="D531" t="s">
        <v>869</v>
      </c>
      <c r="E531">
        <v>0</v>
      </c>
      <c r="F531">
        <v>0</v>
      </c>
      <c r="G531">
        <f t="shared" si="25"/>
        <v>0</v>
      </c>
      <c r="H531">
        <f t="shared" si="24"/>
        <v>0</v>
      </c>
      <c r="I531" t="str">
        <f>_xlfn.XLOOKUP(A531,'[1]Forecast 2026'!$A:$A,'[1]Forecast 2026'!$AJ:$AJ,"NA",0,1)</f>
        <v>NA</v>
      </c>
      <c r="J531" t="str">
        <f t="shared" si="26"/>
        <v/>
      </c>
    </row>
    <row r="532" spans="1:10" hidden="1" x14ac:dyDescent="0.35">
      <c r="A532" t="s">
        <v>1094</v>
      </c>
      <c r="B532" t="s">
        <v>1095</v>
      </c>
      <c r="C532" t="s">
        <v>868</v>
      </c>
      <c r="D532" t="s">
        <v>869</v>
      </c>
      <c r="E532">
        <v>0</v>
      </c>
      <c r="F532">
        <v>0</v>
      </c>
      <c r="G532">
        <f t="shared" si="25"/>
        <v>0</v>
      </c>
      <c r="H532">
        <f t="shared" si="24"/>
        <v>0</v>
      </c>
      <c r="I532" t="str">
        <f>_xlfn.XLOOKUP(A532,'[1]Forecast 2026'!$A:$A,'[1]Forecast 2026'!$AJ:$AJ,"NA",0,1)</f>
        <v>NA</v>
      </c>
      <c r="J532" t="str">
        <f t="shared" si="26"/>
        <v/>
      </c>
    </row>
    <row r="533" spans="1:10" hidden="1" x14ac:dyDescent="0.35">
      <c r="A533" t="s">
        <v>1096</v>
      </c>
      <c r="B533" t="s">
        <v>1097</v>
      </c>
      <c r="C533" t="s">
        <v>868</v>
      </c>
      <c r="D533" t="s">
        <v>114</v>
      </c>
      <c r="E533">
        <v>0</v>
      </c>
      <c r="F533">
        <v>0</v>
      </c>
      <c r="G533">
        <f t="shared" si="25"/>
        <v>0</v>
      </c>
      <c r="H533">
        <f t="shared" si="24"/>
        <v>0</v>
      </c>
      <c r="I533">
        <f>_xlfn.XLOOKUP(A533,'[1]Forecast 2026'!$A:$A,'[1]Forecast 2026'!$AJ:$AJ,"NA",0,1)</f>
        <v>0</v>
      </c>
      <c r="J533">
        <f t="shared" si="26"/>
        <v>0</v>
      </c>
    </row>
    <row r="534" spans="1:10" hidden="1" x14ac:dyDescent="0.35">
      <c r="A534" t="s">
        <v>1098</v>
      </c>
      <c r="B534" t="s">
        <v>1099</v>
      </c>
      <c r="C534" t="s">
        <v>868</v>
      </c>
      <c r="D534" t="s">
        <v>869</v>
      </c>
      <c r="E534">
        <v>0</v>
      </c>
      <c r="F534">
        <v>0</v>
      </c>
      <c r="G534">
        <f t="shared" si="25"/>
        <v>0</v>
      </c>
      <c r="H534">
        <f t="shared" si="24"/>
        <v>0</v>
      </c>
      <c r="I534" t="str">
        <f>_xlfn.XLOOKUP(A534,'[1]Forecast 2026'!$A:$A,'[1]Forecast 2026'!$AJ:$AJ,"NA",0,1)</f>
        <v>NA</v>
      </c>
      <c r="J534" t="str">
        <f t="shared" si="26"/>
        <v/>
      </c>
    </row>
    <row r="535" spans="1:10" hidden="1" x14ac:dyDescent="0.35">
      <c r="A535" t="s">
        <v>1100</v>
      </c>
      <c r="B535" t="s">
        <v>1101</v>
      </c>
      <c r="C535" t="s">
        <v>868</v>
      </c>
      <c r="D535" t="s">
        <v>869</v>
      </c>
      <c r="E535">
        <v>0</v>
      </c>
      <c r="F535">
        <v>0</v>
      </c>
      <c r="G535">
        <f t="shared" si="25"/>
        <v>0</v>
      </c>
      <c r="H535">
        <f t="shared" si="24"/>
        <v>0</v>
      </c>
      <c r="I535" t="str">
        <f>_xlfn.XLOOKUP(A535,'[1]Forecast 2026'!$A:$A,'[1]Forecast 2026'!$AJ:$AJ,"NA",0,1)</f>
        <v>NA</v>
      </c>
      <c r="J535" t="str">
        <f t="shared" si="26"/>
        <v/>
      </c>
    </row>
    <row r="536" spans="1:10" hidden="1" x14ac:dyDescent="0.35">
      <c r="A536" t="s">
        <v>1102</v>
      </c>
      <c r="B536" t="s">
        <v>448</v>
      </c>
      <c r="C536" t="s">
        <v>868</v>
      </c>
      <c r="D536" t="s">
        <v>430</v>
      </c>
      <c r="E536">
        <v>0</v>
      </c>
      <c r="F536">
        <v>0</v>
      </c>
      <c r="G536">
        <f t="shared" si="25"/>
        <v>0</v>
      </c>
      <c r="H536">
        <f t="shared" si="24"/>
        <v>0</v>
      </c>
      <c r="I536">
        <f>_xlfn.XLOOKUP(A536,'[1]Forecast 2026'!$A:$A,'[1]Forecast 2026'!$AJ:$AJ,"NA",0,1)</f>
        <v>0</v>
      </c>
      <c r="J536">
        <f t="shared" si="26"/>
        <v>0</v>
      </c>
    </row>
    <row r="537" spans="1:10" hidden="1" x14ac:dyDescent="0.35">
      <c r="A537" t="s">
        <v>1103</v>
      </c>
      <c r="B537" t="s">
        <v>1104</v>
      </c>
      <c r="C537" t="s">
        <v>868</v>
      </c>
      <c r="D537" t="s">
        <v>869</v>
      </c>
      <c r="E537">
        <v>0</v>
      </c>
      <c r="F537">
        <v>0</v>
      </c>
      <c r="G537">
        <f t="shared" si="25"/>
        <v>0</v>
      </c>
      <c r="H537">
        <f t="shared" si="24"/>
        <v>0</v>
      </c>
      <c r="I537" t="str">
        <f>_xlfn.XLOOKUP(A537,'[1]Forecast 2026'!$A:$A,'[1]Forecast 2026'!$AJ:$AJ,"NA",0,1)</f>
        <v>NA</v>
      </c>
      <c r="J537" t="str">
        <f t="shared" si="26"/>
        <v/>
      </c>
    </row>
    <row r="538" spans="1:10" hidden="1" x14ac:dyDescent="0.35">
      <c r="A538" t="s">
        <v>1105</v>
      </c>
      <c r="B538" t="s">
        <v>1106</v>
      </c>
      <c r="C538" t="s">
        <v>868</v>
      </c>
      <c r="D538" t="s">
        <v>869</v>
      </c>
      <c r="E538">
        <v>0</v>
      </c>
      <c r="F538">
        <v>0</v>
      </c>
      <c r="G538">
        <f t="shared" si="25"/>
        <v>0</v>
      </c>
      <c r="H538">
        <f t="shared" si="24"/>
        <v>0</v>
      </c>
      <c r="I538" t="str">
        <f>_xlfn.XLOOKUP(A538,'[1]Forecast 2026'!$A:$A,'[1]Forecast 2026'!$AJ:$AJ,"NA",0,1)</f>
        <v>NA</v>
      </c>
      <c r="J538" t="str">
        <f t="shared" si="26"/>
        <v/>
      </c>
    </row>
    <row r="539" spans="1:10" hidden="1" x14ac:dyDescent="0.35">
      <c r="A539" t="s">
        <v>1107</v>
      </c>
      <c r="B539" t="s">
        <v>1108</v>
      </c>
      <c r="C539" t="s">
        <v>868</v>
      </c>
      <c r="D539" t="s">
        <v>869</v>
      </c>
      <c r="E539">
        <v>0</v>
      </c>
      <c r="F539">
        <v>0</v>
      </c>
      <c r="G539">
        <f t="shared" si="25"/>
        <v>0</v>
      </c>
      <c r="H539">
        <f t="shared" si="24"/>
        <v>0</v>
      </c>
      <c r="I539" t="str">
        <f>_xlfn.XLOOKUP(A539,'[1]Forecast 2026'!$A:$A,'[1]Forecast 2026'!$AJ:$AJ,"NA",0,1)</f>
        <v>NA</v>
      </c>
      <c r="J539" t="str">
        <f t="shared" si="26"/>
        <v/>
      </c>
    </row>
    <row r="540" spans="1:10" hidden="1" x14ac:dyDescent="0.35">
      <c r="A540" t="s">
        <v>1109</v>
      </c>
      <c r="B540" t="s">
        <v>1110</v>
      </c>
      <c r="C540" t="s">
        <v>868</v>
      </c>
      <c r="D540" t="s">
        <v>869</v>
      </c>
      <c r="E540">
        <v>0</v>
      </c>
      <c r="F540">
        <v>0</v>
      </c>
      <c r="G540">
        <f t="shared" si="25"/>
        <v>0</v>
      </c>
      <c r="H540">
        <f t="shared" si="24"/>
        <v>0</v>
      </c>
      <c r="I540" t="str">
        <f>_xlfn.XLOOKUP(A540,'[1]Forecast 2026'!$A:$A,'[1]Forecast 2026'!$AJ:$AJ,"NA",0,1)</f>
        <v>NA</v>
      </c>
      <c r="J540" t="str">
        <f t="shared" si="26"/>
        <v/>
      </c>
    </row>
    <row r="541" spans="1:10" hidden="1" x14ac:dyDescent="0.35">
      <c r="A541" t="s">
        <v>1111</v>
      </c>
      <c r="B541" t="s">
        <v>1112</v>
      </c>
      <c r="C541" t="s">
        <v>868</v>
      </c>
      <c r="D541" t="s">
        <v>869</v>
      </c>
      <c r="E541">
        <v>0</v>
      </c>
      <c r="F541">
        <v>0</v>
      </c>
      <c r="G541">
        <f t="shared" si="25"/>
        <v>0</v>
      </c>
      <c r="H541">
        <f t="shared" si="24"/>
        <v>0</v>
      </c>
      <c r="I541" t="str">
        <f>_xlfn.XLOOKUP(A541,'[1]Forecast 2026'!$A:$A,'[1]Forecast 2026'!$AJ:$AJ,"NA",0,1)</f>
        <v>NA</v>
      </c>
      <c r="J541" t="str">
        <f t="shared" si="26"/>
        <v/>
      </c>
    </row>
    <row r="542" spans="1:10" hidden="1" x14ac:dyDescent="0.35">
      <c r="A542" t="s">
        <v>1113</v>
      </c>
      <c r="B542" t="s">
        <v>1114</v>
      </c>
      <c r="C542" t="s">
        <v>868</v>
      </c>
      <c r="D542" t="s">
        <v>869</v>
      </c>
      <c r="E542">
        <v>0</v>
      </c>
      <c r="F542">
        <v>0</v>
      </c>
      <c r="G542">
        <f t="shared" si="25"/>
        <v>0</v>
      </c>
      <c r="H542">
        <f t="shared" si="24"/>
        <v>0</v>
      </c>
      <c r="I542" t="str">
        <f>_xlfn.XLOOKUP(A542,'[1]Forecast 2026'!$A:$A,'[1]Forecast 2026'!$AJ:$AJ,"NA",0,1)</f>
        <v>NA</v>
      </c>
      <c r="J542" t="str">
        <f t="shared" si="26"/>
        <v/>
      </c>
    </row>
    <row r="543" spans="1:10" hidden="1" x14ac:dyDescent="0.35">
      <c r="A543" t="s">
        <v>1115</v>
      </c>
      <c r="B543" t="s">
        <v>1116</v>
      </c>
      <c r="C543" t="s">
        <v>868</v>
      </c>
      <c r="D543" t="s">
        <v>869</v>
      </c>
      <c r="E543">
        <v>0</v>
      </c>
      <c r="F543">
        <v>0</v>
      </c>
      <c r="G543">
        <f t="shared" si="25"/>
        <v>0</v>
      </c>
      <c r="H543">
        <f t="shared" si="24"/>
        <v>0</v>
      </c>
      <c r="I543" t="str">
        <f>_xlfn.XLOOKUP(A543,'[1]Forecast 2026'!$A:$A,'[1]Forecast 2026'!$AJ:$AJ,"NA",0,1)</f>
        <v>NA</v>
      </c>
      <c r="J543" t="str">
        <f t="shared" si="26"/>
        <v/>
      </c>
    </row>
    <row r="544" spans="1:10" hidden="1" x14ac:dyDescent="0.35">
      <c r="A544" t="s">
        <v>1117</v>
      </c>
      <c r="B544" t="s">
        <v>1118</v>
      </c>
      <c r="C544" t="s">
        <v>868</v>
      </c>
      <c r="D544" t="s">
        <v>869</v>
      </c>
      <c r="E544">
        <v>0</v>
      </c>
      <c r="F544">
        <v>0</v>
      </c>
      <c r="G544">
        <f t="shared" si="25"/>
        <v>0</v>
      </c>
      <c r="H544">
        <f t="shared" si="24"/>
        <v>0</v>
      </c>
      <c r="I544" t="str">
        <f>_xlfn.XLOOKUP(A544,'[1]Forecast 2026'!$A:$A,'[1]Forecast 2026'!$AJ:$AJ,"NA",0,1)</f>
        <v>NA</v>
      </c>
      <c r="J544" t="str">
        <f t="shared" si="26"/>
        <v/>
      </c>
    </row>
    <row r="545" spans="1:10" hidden="1" x14ac:dyDescent="0.35">
      <c r="A545" t="s">
        <v>1119</v>
      </c>
      <c r="B545" t="s">
        <v>1120</v>
      </c>
      <c r="C545" t="s">
        <v>868</v>
      </c>
      <c r="D545" t="s">
        <v>869</v>
      </c>
      <c r="E545">
        <v>0</v>
      </c>
      <c r="F545">
        <v>0</v>
      </c>
      <c r="G545">
        <f t="shared" si="25"/>
        <v>0</v>
      </c>
      <c r="H545">
        <f t="shared" si="24"/>
        <v>0</v>
      </c>
      <c r="I545" t="str">
        <f>_xlfn.XLOOKUP(A545,'[1]Forecast 2026'!$A:$A,'[1]Forecast 2026'!$AJ:$AJ,"NA",0,1)</f>
        <v>NA</v>
      </c>
      <c r="J545" t="str">
        <f t="shared" si="26"/>
        <v/>
      </c>
    </row>
    <row r="546" spans="1:10" hidden="1" x14ac:dyDescent="0.35">
      <c r="A546" t="s">
        <v>1121</v>
      </c>
      <c r="B546" t="s">
        <v>1122</v>
      </c>
      <c r="C546" t="s">
        <v>868</v>
      </c>
      <c r="D546" t="s">
        <v>869</v>
      </c>
      <c r="E546">
        <v>0</v>
      </c>
      <c r="F546">
        <v>0</v>
      </c>
      <c r="G546">
        <f t="shared" si="25"/>
        <v>0</v>
      </c>
      <c r="H546">
        <f t="shared" si="24"/>
        <v>0</v>
      </c>
      <c r="I546" t="str">
        <f>_xlfn.XLOOKUP(A546,'[1]Forecast 2026'!$A:$A,'[1]Forecast 2026'!$AJ:$AJ,"NA",0,1)</f>
        <v>NA</v>
      </c>
      <c r="J546" t="str">
        <f t="shared" si="26"/>
        <v/>
      </c>
    </row>
    <row r="547" spans="1:10" hidden="1" x14ac:dyDescent="0.35">
      <c r="A547" t="s">
        <v>1123</v>
      </c>
      <c r="B547" t="s">
        <v>1124</v>
      </c>
      <c r="C547" t="s">
        <v>868</v>
      </c>
      <c r="D547" t="s">
        <v>869</v>
      </c>
      <c r="E547">
        <v>0</v>
      </c>
      <c r="F547">
        <v>0</v>
      </c>
      <c r="G547">
        <f t="shared" si="25"/>
        <v>0</v>
      </c>
      <c r="H547">
        <f t="shared" si="24"/>
        <v>0</v>
      </c>
      <c r="I547" t="str">
        <f>_xlfn.XLOOKUP(A547,'[1]Forecast 2026'!$A:$A,'[1]Forecast 2026'!$AJ:$AJ,"NA",0,1)</f>
        <v>NA</v>
      </c>
      <c r="J547" t="str">
        <f t="shared" si="26"/>
        <v/>
      </c>
    </row>
    <row r="548" spans="1:10" hidden="1" x14ac:dyDescent="0.35">
      <c r="A548" t="s">
        <v>1125</v>
      </c>
      <c r="B548" t="s">
        <v>1126</v>
      </c>
      <c r="C548" t="s">
        <v>868</v>
      </c>
      <c r="D548" t="s">
        <v>869</v>
      </c>
      <c r="E548">
        <v>0</v>
      </c>
      <c r="F548">
        <v>0</v>
      </c>
      <c r="G548">
        <f t="shared" si="25"/>
        <v>0</v>
      </c>
      <c r="H548">
        <f t="shared" si="24"/>
        <v>0</v>
      </c>
      <c r="I548" t="str">
        <f>_xlfn.XLOOKUP(A548,'[1]Forecast 2026'!$A:$A,'[1]Forecast 2026'!$AJ:$AJ,"NA",0,1)</f>
        <v>NA</v>
      </c>
      <c r="J548" t="str">
        <f t="shared" si="26"/>
        <v/>
      </c>
    </row>
    <row r="549" spans="1:10" hidden="1" x14ac:dyDescent="0.35">
      <c r="A549" t="s">
        <v>1127</v>
      </c>
      <c r="B549" t="s">
        <v>1128</v>
      </c>
      <c r="C549" t="s">
        <v>868</v>
      </c>
      <c r="D549" t="s">
        <v>869</v>
      </c>
      <c r="E549">
        <v>0</v>
      </c>
      <c r="F549">
        <v>0</v>
      </c>
      <c r="G549">
        <f t="shared" si="25"/>
        <v>0</v>
      </c>
      <c r="H549">
        <f t="shared" si="24"/>
        <v>0</v>
      </c>
      <c r="I549" t="str">
        <f>_xlfn.XLOOKUP(A549,'[1]Forecast 2026'!$A:$A,'[1]Forecast 2026'!$AJ:$AJ,"NA",0,1)</f>
        <v>NA</v>
      </c>
      <c r="J549" t="str">
        <f t="shared" si="26"/>
        <v/>
      </c>
    </row>
    <row r="550" spans="1:10" hidden="1" x14ac:dyDescent="0.35">
      <c r="A550" t="s">
        <v>1129</v>
      </c>
      <c r="B550" t="s">
        <v>1130</v>
      </c>
      <c r="C550" t="s">
        <v>868</v>
      </c>
      <c r="D550" t="s">
        <v>869</v>
      </c>
      <c r="E550">
        <v>0</v>
      </c>
      <c r="F550">
        <v>0</v>
      </c>
      <c r="G550">
        <f t="shared" si="25"/>
        <v>0</v>
      </c>
      <c r="H550">
        <f t="shared" si="24"/>
        <v>0</v>
      </c>
      <c r="I550" t="str">
        <f>_xlfn.XLOOKUP(A550,'[1]Forecast 2026'!$A:$A,'[1]Forecast 2026'!$AJ:$AJ,"NA",0,1)</f>
        <v>NA</v>
      </c>
      <c r="J550" t="str">
        <f t="shared" si="26"/>
        <v/>
      </c>
    </row>
    <row r="551" spans="1:10" hidden="1" x14ac:dyDescent="0.35">
      <c r="A551" t="s">
        <v>1131</v>
      </c>
      <c r="B551" t="s">
        <v>1132</v>
      </c>
      <c r="C551" t="s">
        <v>868</v>
      </c>
      <c r="D551" t="s">
        <v>869</v>
      </c>
      <c r="E551">
        <v>0</v>
      </c>
      <c r="F551">
        <v>0</v>
      </c>
      <c r="G551">
        <f t="shared" si="25"/>
        <v>0</v>
      </c>
      <c r="H551">
        <f t="shared" si="24"/>
        <v>0</v>
      </c>
      <c r="I551" t="str">
        <f>_xlfn.XLOOKUP(A551,'[1]Forecast 2026'!$A:$A,'[1]Forecast 2026'!$AJ:$AJ,"NA",0,1)</f>
        <v>NA</v>
      </c>
      <c r="J551" t="str">
        <f t="shared" si="26"/>
        <v/>
      </c>
    </row>
    <row r="552" spans="1:10" hidden="1" x14ac:dyDescent="0.35">
      <c r="A552" t="s">
        <v>1133</v>
      </c>
      <c r="B552" t="s">
        <v>1134</v>
      </c>
      <c r="C552" t="s">
        <v>868</v>
      </c>
      <c r="D552" t="s">
        <v>869</v>
      </c>
      <c r="E552">
        <v>0</v>
      </c>
      <c r="F552">
        <v>0</v>
      </c>
      <c r="G552">
        <f t="shared" si="25"/>
        <v>0</v>
      </c>
      <c r="H552">
        <f t="shared" si="24"/>
        <v>0</v>
      </c>
      <c r="I552" t="str">
        <f>_xlfn.XLOOKUP(A552,'[1]Forecast 2026'!$A:$A,'[1]Forecast 2026'!$AJ:$AJ,"NA",0,1)</f>
        <v>NA</v>
      </c>
      <c r="J552" t="str">
        <f t="shared" si="26"/>
        <v/>
      </c>
    </row>
    <row r="553" spans="1:10" hidden="1" x14ac:dyDescent="0.35">
      <c r="A553" t="s">
        <v>1135</v>
      </c>
      <c r="B553" t="s">
        <v>1136</v>
      </c>
      <c r="C553" t="s">
        <v>868</v>
      </c>
      <c r="D553" t="s">
        <v>869</v>
      </c>
      <c r="E553">
        <v>0</v>
      </c>
      <c r="F553">
        <v>0</v>
      </c>
      <c r="G553">
        <f t="shared" si="25"/>
        <v>0</v>
      </c>
      <c r="H553">
        <f t="shared" si="24"/>
        <v>0</v>
      </c>
      <c r="I553" t="str">
        <f>_xlfn.XLOOKUP(A553,'[1]Forecast 2026'!$A:$A,'[1]Forecast 2026'!$AJ:$AJ,"NA",0,1)</f>
        <v>NA</v>
      </c>
      <c r="J553" t="str">
        <f t="shared" si="26"/>
        <v/>
      </c>
    </row>
    <row r="554" spans="1:10" hidden="1" x14ac:dyDescent="0.35">
      <c r="A554" t="s">
        <v>1137</v>
      </c>
      <c r="B554" t="s">
        <v>1138</v>
      </c>
      <c r="C554" t="s">
        <v>868</v>
      </c>
      <c r="D554" t="s">
        <v>869</v>
      </c>
      <c r="E554">
        <v>0</v>
      </c>
      <c r="F554">
        <v>0</v>
      </c>
      <c r="G554">
        <f t="shared" si="25"/>
        <v>0</v>
      </c>
      <c r="H554">
        <f t="shared" si="24"/>
        <v>0</v>
      </c>
      <c r="I554" t="str">
        <f>_xlfn.XLOOKUP(A554,'[1]Forecast 2026'!$A:$A,'[1]Forecast 2026'!$AJ:$AJ,"NA",0,1)</f>
        <v>NA</v>
      </c>
      <c r="J554" t="str">
        <f t="shared" si="26"/>
        <v/>
      </c>
    </row>
    <row r="555" spans="1:10" hidden="1" x14ac:dyDescent="0.35">
      <c r="A555" t="s">
        <v>1139</v>
      </c>
      <c r="B555" t="s">
        <v>1140</v>
      </c>
      <c r="C555" t="s">
        <v>868</v>
      </c>
      <c r="D555" t="s">
        <v>869</v>
      </c>
      <c r="E555">
        <v>0</v>
      </c>
      <c r="F555">
        <v>0</v>
      </c>
      <c r="G555">
        <f t="shared" si="25"/>
        <v>0</v>
      </c>
      <c r="H555">
        <f t="shared" si="24"/>
        <v>0</v>
      </c>
      <c r="I555" t="str">
        <f>_xlfn.XLOOKUP(A555,'[1]Forecast 2026'!$A:$A,'[1]Forecast 2026'!$AJ:$AJ,"NA",0,1)</f>
        <v>NA</v>
      </c>
      <c r="J555" t="str">
        <f t="shared" si="26"/>
        <v/>
      </c>
    </row>
    <row r="556" spans="1:10" hidden="1" x14ac:dyDescent="0.35">
      <c r="A556" t="s">
        <v>1141</v>
      </c>
      <c r="B556" t="s">
        <v>1142</v>
      </c>
      <c r="C556" t="s">
        <v>868</v>
      </c>
      <c r="D556" t="s">
        <v>869</v>
      </c>
      <c r="E556">
        <v>0</v>
      </c>
      <c r="F556">
        <v>0</v>
      </c>
      <c r="G556">
        <f t="shared" si="25"/>
        <v>0</v>
      </c>
      <c r="H556">
        <f t="shared" si="24"/>
        <v>0</v>
      </c>
      <c r="I556" t="str">
        <f>_xlfn.XLOOKUP(A556,'[1]Forecast 2026'!$A:$A,'[1]Forecast 2026'!$AJ:$AJ,"NA",0,1)</f>
        <v>NA</v>
      </c>
      <c r="J556" t="str">
        <f t="shared" si="26"/>
        <v/>
      </c>
    </row>
    <row r="557" spans="1:10" hidden="1" x14ac:dyDescent="0.35">
      <c r="A557" t="s">
        <v>1143</v>
      </c>
      <c r="B557" t="s">
        <v>1144</v>
      </c>
      <c r="C557" t="s">
        <v>868</v>
      </c>
      <c r="D557" t="s">
        <v>869</v>
      </c>
      <c r="E557">
        <v>0</v>
      </c>
      <c r="F557">
        <v>0</v>
      </c>
      <c r="G557">
        <f t="shared" si="25"/>
        <v>0</v>
      </c>
      <c r="H557">
        <f t="shared" si="24"/>
        <v>0</v>
      </c>
      <c r="I557" t="str">
        <f>_xlfn.XLOOKUP(A557,'[1]Forecast 2026'!$A:$A,'[1]Forecast 2026'!$AJ:$AJ,"NA",0,1)</f>
        <v>NA</v>
      </c>
      <c r="J557" t="str">
        <f t="shared" si="26"/>
        <v/>
      </c>
    </row>
    <row r="558" spans="1:10" hidden="1" x14ac:dyDescent="0.35">
      <c r="A558" t="s">
        <v>1145</v>
      </c>
      <c r="B558" t="s">
        <v>1146</v>
      </c>
      <c r="C558" t="s">
        <v>868</v>
      </c>
      <c r="D558" t="s">
        <v>869</v>
      </c>
      <c r="E558">
        <v>0</v>
      </c>
      <c r="F558">
        <v>0</v>
      </c>
      <c r="G558">
        <f t="shared" si="25"/>
        <v>0</v>
      </c>
      <c r="H558">
        <f t="shared" si="24"/>
        <v>0</v>
      </c>
      <c r="I558" t="str">
        <f>_xlfn.XLOOKUP(A558,'[1]Forecast 2026'!$A:$A,'[1]Forecast 2026'!$AJ:$AJ,"NA",0,1)</f>
        <v>NA</v>
      </c>
      <c r="J558" t="str">
        <f t="shared" si="26"/>
        <v/>
      </c>
    </row>
    <row r="559" spans="1:10" hidden="1" x14ac:dyDescent="0.35">
      <c r="A559" t="s">
        <v>1147</v>
      </c>
      <c r="B559" t="s">
        <v>1148</v>
      </c>
      <c r="C559" t="s">
        <v>868</v>
      </c>
      <c r="D559" t="s">
        <v>869</v>
      </c>
      <c r="E559">
        <v>0</v>
      </c>
      <c r="F559">
        <v>0</v>
      </c>
      <c r="G559">
        <f t="shared" si="25"/>
        <v>0</v>
      </c>
      <c r="H559">
        <f t="shared" si="24"/>
        <v>0</v>
      </c>
      <c r="I559" t="str">
        <f>_xlfn.XLOOKUP(A559,'[1]Forecast 2026'!$A:$A,'[1]Forecast 2026'!$AJ:$AJ,"NA",0,1)</f>
        <v>NA</v>
      </c>
      <c r="J559" t="str">
        <f t="shared" si="26"/>
        <v/>
      </c>
    </row>
    <row r="560" spans="1:10" hidden="1" x14ac:dyDescent="0.35">
      <c r="A560" t="s">
        <v>1149</v>
      </c>
      <c r="B560" t="s">
        <v>1150</v>
      </c>
      <c r="C560" t="s">
        <v>868</v>
      </c>
      <c r="D560" t="s">
        <v>869</v>
      </c>
      <c r="E560">
        <v>0</v>
      </c>
      <c r="F560">
        <v>0</v>
      </c>
      <c r="G560">
        <f t="shared" si="25"/>
        <v>0</v>
      </c>
      <c r="H560">
        <f t="shared" si="24"/>
        <v>0</v>
      </c>
      <c r="I560" t="str">
        <f>_xlfn.XLOOKUP(A560,'[1]Forecast 2026'!$A:$A,'[1]Forecast 2026'!$AJ:$AJ,"NA",0,1)</f>
        <v>NA</v>
      </c>
      <c r="J560" t="str">
        <f t="shared" si="26"/>
        <v/>
      </c>
    </row>
    <row r="561" spans="1:10" hidden="1" x14ac:dyDescent="0.35">
      <c r="A561" t="s">
        <v>1151</v>
      </c>
      <c r="B561" t="s">
        <v>1152</v>
      </c>
      <c r="C561" t="s">
        <v>868</v>
      </c>
      <c r="D561" t="s">
        <v>869</v>
      </c>
      <c r="E561">
        <v>0</v>
      </c>
      <c r="F561">
        <v>0</v>
      </c>
      <c r="G561">
        <f t="shared" si="25"/>
        <v>0</v>
      </c>
      <c r="H561">
        <f t="shared" si="24"/>
        <v>0</v>
      </c>
      <c r="I561" t="str">
        <f>_xlfn.XLOOKUP(A561,'[1]Forecast 2026'!$A:$A,'[1]Forecast 2026'!$AJ:$AJ,"NA",0,1)</f>
        <v>NA</v>
      </c>
      <c r="J561" t="str">
        <f t="shared" si="26"/>
        <v/>
      </c>
    </row>
    <row r="562" spans="1:10" hidden="1" x14ac:dyDescent="0.35">
      <c r="A562" t="s">
        <v>1153</v>
      </c>
      <c r="B562" t="s">
        <v>1154</v>
      </c>
      <c r="C562" t="s">
        <v>868</v>
      </c>
      <c r="D562" t="s">
        <v>869</v>
      </c>
      <c r="E562">
        <v>0</v>
      </c>
      <c r="F562">
        <v>0</v>
      </c>
      <c r="G562">
        <f t="shared" si="25"/>
        <v>0</v>
      </c>
      <c r="H562">
        <f t="shared" si="24"/>
        <v>0</v>
      </c>
      <c r="I562" t="str">
        <f>_xlfn.XLOOKUP(A562,'[1]Forecast 2026'!$A:$A,'[1]Forecast 2026'!$AJ:$AJ,"NA",0,1)</f>
        <v>NA</v>
      </c>
      <c r="J562" t="str">
        <f t="shared" si="26"/>
        <v/>
      </c>
    </row>
    <row r="563" spans="1:10" hidden="1" x14ac:dyDescent="0.35">
      <c r="A563" t="s">
        <v>1155</v>
      </c>
      <c r="B563" t="s">
        <v>1156</v>
      </c>
      <c r="C563" t="s">
        <v>868</v>
      </c>
      <c r="D563" t="s">
        <v>869</v>
      </c>
      <c r="E563">
        <v>0</v>
      </c>
      <c r="F563">
        <v>0</v>
      </c>
      <c r="G563">
        <f t="shared" si="25"/>
        <v>0</v>
      </c>
      <c r="H563">
        <f t="shared" si="24"/>
        <v>0</v>
      </c>
      <c r="I563" t="str">
        <f>_xlfn.XLOOKUP(A563,'[1]Forecast 2026'!$A:$A,'[1]Forecast 2026'!$AJ:$AJ,"NA",0,1)</f>
        <v>NA</v>
      </c>
      <c r="J563" t="str">
        <f t="shared" si="26"/>
        <v/>
      </c>
    </row>
    <row r="564" spans="1:10" hidden="1" x14ac:dyDescent="0.35">
      <c r="A564" t="s">
        <v>1157</v>
      </c>
      <c r="B564" t="s">
        <v>1158</v>
      </c>
      <c r="C564" t="s">
        <v>868</v>
      </c>
      <c r="D564" t="s">
        <v>869</v>
      </c>
      <c r="E564">
        <v>0</v>
      </c>
      <c r="F564">
        <v>0</v>
      </c>
      <c r="G564">
        <f t="shared" si="25"/>
        <v>0</v>
      </c>
      <c r="H564">
        <f t="shared" si="24"/>
        <v>0</v>
      </c>
      <c r="I564" t="str">
        <f>_xlfn.XLOOKUP(A564,'[1]Forecast 2026'!$A:$A,'[1]Forecast 2026'!$AJ:$AJ,"NA",0,1)</f>
        <v>NA</v>
      </c>
      <c r="J564" t="str">
        <f t="shared" si="26"/>
        <v/>
      </c>
    </row>
    <row r="565" spans="1:10" hidden="1" x14ac:dyDescent="0.35">
      <c r="A565" t="s">
        <v>1159</v>
      </c>
      <c r="B565" t="s">
        <v>1160</v>
      </c>
      <c r="C565" t="s">
        <v>868</v>
      </c>
      <c r="D565" t="s">
        <v>869</v>
      </c>
      <c r="E565">
        <v>0</v>
      </c>
      <c r="F565">
        <v>0</v>
      </c>
      <c r="G565">
        <f t="shared" si="25"/>
        <v>0</v>
      </c>
      <c r="H565">
        <f t="shared" si="24"/>
        <v>0</v>
      </c>
      <c r="I565" t="str">
        <f>_xlfn.XLOOKUP(A565,'[1]Forecast 2026'!$A:$A,'[1]Forecast 2026'!$AJ:$AJ,"NA",0,1)</f>
        <v>NA</v>
      </c>
      <c r="J565" t="str">
        <f t="shared" si="26"/>
        <v/>
      </c>
    </row>
    <row r="566" spans="1:10" hidden="1" x14ac:dyDescent="0.35">
      <c r="A566" t="s">
        <v>1161</v>
      </c>
      <c r="B566" t="s">
        <v>1162</v>
      </c>
      <c r="C566" t="s">
        <v>868</v>
      </c>
      <c r="D566" t="s">
        <v>869</v>
      </c>
      <c r="E566">
        <v>0</v>
      </c>
      <c r="F566">
        <v>0</v>
      </c>
      <c r="G566">
        <f t="shared" si="25"/>
        <v>0</v>
      </c>
      <c r="H566">
        <f t="shared" si="24"/>
        <v>0</v>
      </c>
      <c r="I566" t="str">
        <f>_xlfn.XLOOKUP(A566,'[1]Forecast 2026'!$A:$A,'[1]Forecast 2026'!$AJ:$AJ,"NA",0,1)</f>
        <v>NA</v>
      </c>
      <c r="J566" t="str">
        <f t="shared" si="26"/>
        <v/>
      </c>
    </row>
    <row r="567" spans="1:10" hidden="1" x14ac:dyDescent="0.35">
      <c r="A567" t="s">
        <v>1163</v>
      </c>
      <c r="B567" t="s">
        <v>1164</v>
      </c>
      <c r="C567" t="s">
        <v>868</v>
      </c>
      <c r="D567" t="s">
        <v>869</v>
      </c>
      <c r="E567">
        <v>0</v>
      </c>
      <c r="F567">
        <v>0</v>
      </c>
      <c r="G567">
        <f t="shared" si="25"/>
        <v>0</v>
      </c>
      <c r="H567">
        <f t="shared" si="24"/>
        <v>0</v>
      </c>
      <c r="I567" t="str">
        <f>_xlfn.XLOOKUP(A567,'[1]Forecast 2026'!$A:$A,'[1]Forecast 2026'!$AJ:$AJ,"NA",0,1)</f>
        <v>NA</v>
      </c>
      <c r="J567" t="str">
        <f t="shared" si="26"/>
        <v/>
      </c>
    </row>
    <row r="568" spans="1:10" hidden="1" x14ac:dyDescent="0.35">
      <c r="A568" t="s">
        <v>1165</v>
      </c>
      <c r="B568" t="s">
        <v>1166</v>
      </c>
      <c r="C568" t="s">
        <v>868</v>
      </c>
      <c r="D568" t="s">
        <v>869</v>
      </c>
      <c r="E568">
        <v>0</v>
      </c>
      <c r="F568">
        <v>0</v>
      </c>
      <c r="G568">
        <f t="shared" si="25"/>
        <v>0</v>
      </c>
      <c r="H568">
        <f t="shared" si="24"/>
        <v>0</v>
      </c>
      <c r="I568" t="str">
        <f>_xlfn.XLOOKUP(A568,'[1]Forecast 2026'!$A:$A,'[1]Forecast 2026'!$AJ:$AJ,"NA",0,1)</f>
        <v>NA</v>
      </c>
      <c r="J568" t="str">
        <f t="shared" si="26"/>
        <v/>
      </c>
    </row>
    <row r="569" spans="1:10" hidden="1" x14ac:dyDescent="0.35">
      <c r="A569" t="s">
        <v>1167</v>
      </c>
      <c r="B569" t="s">
        <v>1168</v>
      </c>
      <c r="C569" t="s">
        <v>868</v>
      </c>
      <c r="D569" t="s">
        <v>869</v>
      </c>
      <c r="E569">
        <v>0</v>
      </c>
      <c r="F569">
        <v>0</v>
      </c>
      <c r="G569">
        <f t="shared" si="25"/>
        <v>0</v>
      </c>
      <c r="H569">
        <f t="shared" si="24"/>
        <v>0</v>
      </c>
      <c r="I569" t="str">
        <f>_xlfn.XLOOKUP(A569,'[1]Forecast 2026'!$A:$A,'[1]Forecast 2026'!$AJ:$AJ,"NA",0,1)</f>
        <v>NA</v>
      </c>
      <c r="J569" t="str">
        <f t="shared" si="26"/>
        <v/>
      </c>
    </row>
    <row r="570" spans="1:10" hidden="1" x14ac:dyDescent="0.35">
      <c r="A570" t="s">
        <v>1169</v>
      </c>
      <c r="B570" t="s">
        <v>1170</v>
      </c>
      <c r="C570" t="s">
        <v>868</v>
      </c>
      <c r="D570" t="s">
        <v>869</v>
      </c>
      <c r="E570">
        <v>0</v>
      </c>
      <c r="F570">
        <v>0</v>
      </c>
      <c r="G570">
        <f t="shared" si="25"/>
        <v>0</v>
      </c>
      <c r="H570">
        <f t="shared" si="24"/>
        <v>0</v>
      </c>
      <c r="I570" t="str">
        <f>_xlfn.XLOOKUP(A570,'[1]Forecast 2026'!$A:$A,'[1]Forecast 2026'!$AJ:$AJ,"NA",0,1)</f>
        <v>NA</v>
      </c>
      <c r="J570" t="str">
        <f t="shared" si="26"/>
        <v/>
      </c>
    </row>
    <row r="571" spans="1:10" hidden="1" x14ac:dyDescent="0.35">
      <c r="A571" t="s">
        <v>1171</v>
      </c>
      <c r="B571" t="s">
        <v>1172</v>
      </c>
      <c r="C571" t="s">
        <v>868</v>
      </c>
      <c r="D571" t="s">
        <v>687</v>
      </c>
      <c r="E571">
        <v>0</v>
      </c>
      <c r="F571">
        <v>62990</v>
      </c>
      <c r="G571">
        <f t="shared" si="25"/>
        <v>0</v>
      </c>
      <c r="H571">
        <f t="shared" si="24"/>
        <v>0</v>
      </c>
      <c r="I571">
        <f>_xlfn.XLOOKUP(A571,'[1]Forecast 2026'!$A:$A,'[1]Forecast 2026'!$AJ:$AJ,"NA",0,1)</f>
        <v>0</v>
      </c>
      <c r="J571">
        <f t="shared" si="26"/>
        <v>0</v>
      </c>
    </row>
    <row r="572" spans="1:10" hidden="1" x14ac:dyDescent="0.35">
      <c r="A572" t="s">
        <v>1173</v>
      </c>
      <c r="B572" t="s">
        <v>1174</v>
      </c>
      <c r="C572" t="s">
        <v>868</v>
      </c>
      <c r="D572" t="s">
        <v>869</v>
      </c>
      <c r="E572">
        <v>0</v>
      </c>
      <c r="F572">
        <v>0</v>
      </c>
      <c r="G572">
        <f t="shared" si="25"/>
        <v>0</v>
      </c>
      <c r="H572">
        <f t="shared" si="24"/>
        <v>0</v>
      </c>
      <c r="I572" t="str">
        <f>_xlfn.XLOOKUP(A572,'[1]Forecast 2026'!$A:$A,'[1]Forecast 2026'!$AJ:$AJ,"NA",0,1)</f>
        <v>NA</v>
      </c>
      <c r="J572" t="str">
        <f t="shared" si="26"/>
        <v/>
      </c>
    </row>
    <row r="573" spans="1:10" hidden="1" x14ac:dyDescent="0.35">
      <c r="A573" t="s">
        <v>1175</v>
      </c>
      <c r="B573" t="s">
        <v>1176</v>
      </c>
      <c r="C573" t="s">
        <v>868</v>
      </c>
      <c r="D573" t="s">
        <v>869</v>
      </c>
      <c r="E573">
        <v>0</v>
      </c>
      <c r="F573">
        <v>0</v>
      </c>
      <c r="G573">
        <f t="shared" si="25"/>
        <v>0</v>
      </c>
      <c r="H573">
        <f t="shared" si="24"/>
        <v>0</v>
      </c>
      <c r="I573" t="str">
        <f>_xlfn.XLOOKUP(A573,'[1]Forecast 2026'!$A:$A,'[1]Forecast 2026'!$AJ:$AJ,"NA",0,1)</f>
        <v>NA</v>
      </c>
      <c r="J573" t="str">
        <f t="shared" si="26"/>
        <v/>
      </c>
    </row>
    <row r="574" spans="1:10" hidden="1" x14ac:dyDescent="0.35">
      <c r="A574" t="s">
        <v>1177</v>
      </c>
      <c r="B574" t="s">
        <v>1178</v>
      </c>
      <c r="C574" t="s">
        <v>868</v>
      </c>
      <c r="D574" t="s">
        <v>869</v>
      </c>
      <c r="E574">
        <v>0</v>
      </c>
      <c r="F574">
        <v>0</v>
      </c>
      <c r="G574">
        <f t="shared" si="25"/>
        <v>0</v>
      </c>
      <c r="H574">
        <f t="shared" si="24"/>
        <v>0</v>
      </c>
      <c r="I574" t="str">
        <f>_xlfn.XLOOKUP(A574,'[1]Forecast 2026'!$A:$A,'[1]Forecast 2026'!$AJ:$AJ,"NA",0,1)</f>
        <v>NA</v>
      </c>
      <c r="J574" t="str">
        <f t="shared" si="26"/>
        <v/>
      </c>
    </row>
    <row r="575" spans="1:10" hidden="1" x14ac:dyDescent="0.35">
      <c r="A575" t="s">
        <v>1179</v>
      </c>
      <c r="B575" t="s">
        <v>1180</v>
      </c>
      <c r="C575" t="s">
        <v>868</v>
      </c>
      <c r="D575" t="s">
        <v>869</v>
      </c>
      <c r="E575">
        <v>0</v>
      </c>
      <c r="F575">
        <v>0</v>
      </c>
      <c r="G575">
        <f t="shared" si="25"/>
        <v>0</v>
      </c>
      <c r="H575">
        <f t="shared" si="24"/>
        <v>0</v>
      </c>
      <c r="I575" t="str">
        <f>_xlfn.XLOOKUP(A575,'[1]Forecast 2026'!$A:$A,'[1]Forecast 2026'!$AJ:$AJ,"NA",0,1)</f>
        <v>NA</v>
      </c>
      <c r="J575" t="str">
        <f t="shared" si="26"/>
        <v/>
      </c>
    </row>
    <row r="576" spans="1:10" hidden="1" x14ac:dyDescent="0.35">
      <c r="A576" t="s">
        <v>1181</v>
      </c>
      <c r="B576" t="s">
        <v>1182</v>
      </c>
      <c r="C576" t="s">
        <v>868</v>
      </c>
      <c r="D576" t="s">
        <v>869</v>
      </c>
      <c r="E576">
        <v>0</v>
      </c>
      <c r="F576">
        <v>0</v>
      </c>
      <c r="G576">
        <f t="shared" si="25"/>
        <v>0</v>
      </c>
      <c r="H576">
        <f t="shared" si="24"/>
        <v>0</v>
      </c>
      <c r="I576" t="str">
        <f>_xlfn.XLOOKUP(A576,'[1]Forecast 2026'!$A:$A,'[1]Forecast 2026'!$AJ:$AJ,"NA",0,1)</f>
        <v>NA</v>
      </c>
      <c r="J576" t="str">
        <f t="shared" si="26"/>
        <v/>
      </c>
    </row>
    <row r="577" spans="1:10" hidden="1" x14ac:dyDescent="0.35">
      <c r="A577" t="s">
        <v>1183</v>
      </c>
      <c r="B577" t="s">
        <v>1184</v>
      </c>
      <c r="C577" t="s">
        <v>868</v>
      </c>
      <c r="D577" t="s">
        <v>869</v>
      </c>
      <c r="E577">
        <v>0</v>
      </c>
      <c r="F577">
        <v>0</v>
      </c>
      <c r="G577">
        <f t="shared" si="25"/>
        <v>0</v>
      </c>
      <c r="H577">
        <f t="shared" si="24"/>
        <v>0</v>
      </c>
      <c r="I577" t="str">
        <f>_xlfn.XLOOKUP(A577,'[1]Forecast 2026'!$A:$A,'[1]Forecast 2026'!$AJ:$AJ,"NA",0,1)</f>
        <v>NA</v>
      </c>
      <c r="J577" t="str">
        <f t="shared" si="26"/>
        <v/>
      </c>
    </row>
    <row r="578" spans="1:10" hidden="1" x14ac:dyDescent="0.35">
      <c r="A578" t="s">
        <v>1185</v>
      </c>
      <c r="B578" t="s">
        <v>1186</v>
      </c>
      <c r="C578" t="s">
        <v>868</v>
      </c>
      <c r="D578" t="s">
        <v>869</v>
      </c>
      <c r="E578">
        <v>0</v>
      </c>
      <c r="F578">
        <v>0</v>
      </c>
      <c r="G578">
        <f t="shared" si="25"/>
        <v>0</v>
      </c>
      <c r="H578">
        <f t="shared" si="24"/>
        <v>0</v>
      </c>
      <c r="I578" t="str">
        <f>_xlfn.XLOOKUP(A578,'[1]Forecast 2026'!$A:$A,'[1]Forecast 2026'!$AJ:$AJ,"NA",0,1)</f>
        <v>NA</v>
      </c>
      <c r="J578" t="str">
        <f t="shared" si="26"/>
        <v/>
      </c>
    </row>
    <row r="579" spans="1:10" hidden="1" x14ac:dyDescent="0.35">
      <c r="A579" t="s">
        <v>1187</v>
      </c>
      <c r="B579" t="s">
        <v>1188</v>
      </c>
      <c r="C579" t="s">
        <v>868</v>
      </c>
      <c r="D579" t="s">
        <v>869</v>
      </c>
      <c r="E579">
        <v>0</v>
      </c>
      <c r="F579">
        <v>0</v>
      </c>
      <c r="G579">
        <f t="shared" si="25"/>
        <v>0</v>
      </c>
      <c r="H579">
        <f t="shared" ref="H579:H642" si="27">E579-G579</f>
        <v>0</v>
      </c>
      <c r="I579" t="str">
        <f>_xlfn.XLOOKUP(A579,'[1]Forecast 2026'!$A:$A,'[1]Forecast 2026'!$AJ:$AJ,"NA",0,1)</f>
        <v>NA</v>
      </c>
      <c r="J579" t="str">
        <f t="shared" si="26"/>
        <v/>
      </c>
    </row>
    <row r="580" spans="1:10" hidden="1" x14ac:dyDescent="0.35">
      <c r="A580" t="s">
        <v>1189</v>
      </c>
      <c r="B580" t="s">
        <v>1190</v>
      </c>
      <c r="C580" t="s">
        <v>868</v>
      </c>
      <c r="D580" t="s">
        <v>869</v>
      </c>
      <c r="E580">
        <v>0</v>
      </c>
      <c r="F580">
        <v>0</v>
      </c>
      <c r="G580">
        <f t="shared" ref="G580:G643" si="28">F580*E580</f>
        <v>0</v>
      </c>
      <c r="H580">
        <f t="shared" si="27"/>
        <v>0</v>
      </c>
      <c r="I580" t="str">
        <f>_xlfn.XLOOKUP(A580,'[1]Forecast 2026'!$A:$A,'[1]Forecast 2026'!$AJ:$AJ,"NA",0,1)</f>
        <v>NA</v>
      </c>
      <c r="J580" t="str">
        <f t="shared" ref="J580:J643" si="29">IFERROR(E580-I580,"")</f>
        <v/>
      </c>
    </row>
    <row r="581" spans="1:10" hidden="1" x14ac:dyDescent="0.35">
      <c r="A581" t="s">
        <v>1191</v>
      </c>
      <c r="B581" t="s">
        <v>1192</v>
      </c>
      <c r="C581" t="s">
        <v>868</v>
      </c>
      <c r="D581" t="s">
        <v>869</v>
      </c>
      <c r="E581">
        <v>0</v>
      </c>
      <c r="F581">
        <v>0</v>
      </c>
      <c r="G581">
        <f t="shared" si="28"/>
        <v>0</v>
      </c>
      <c r="H581">
        <f t="shared" si="27"/>
        <v>0</v>
      </c>
      <c r="I581" t="str">
        <f>_xlfn.XLOOKUP(A581,'[1]Forecast 2026'!$A:$A,'[1]Forecast 2026'!$AJ:$AJ,"NA",0,1)</f>
        <v>NA</v>
      </c>
      <c r="J581" t="str">
        <f t="shared" si="29"/>
        <v/>
      </c>
    </row>
    <row r="582" spans="1:10" hidden="1" x14ac:dyDescent="0.35">
      <c r="A582" t="s">
        <v>1193</v>
      </c>
      <c r="B582" t="s">
        <v>1194</v>
      </c>
      <c r="C582" t="s">
        <v>868</v>
      </c>
      <c r="D582" t="s">
        <v>869</v>
      </c>
      <c r="E582">
        <v>0</v>
      </c>
      <c r="F582">
        <v>0</v>
      </c>
      <c r="G582">
        <f t="shared" si="28"/>
        <v>0</v>
      </c>
      <c r="H582">
        <f t="shared" si="27"/>
        <v>0</v>
      </c>
      <c r="I582" t="str">
        <f>_xlfn.XLOOKUP(A582,'[1]Forecast 2026'!$A:$A,'[1]Forecast 2026'!$AJ:$AJ,"NA",0,1)</f>
        <v>NA</v>
      </c>
      <c r="J582" t="str">
        <f t="shared" si="29"/>
        <v/>
      </c>
    </row>
    <row r="583" spans="1:10" hidden="1" x14ac:dyDescent="0.35">
      <c r="A583" t="s">
        <v>1195</v>
      </c>
      <c r="B583" t="s">
        <v>1196</v>
      </c>
      <c r="C583" t="s">
        <v>868</v>
      </c>
      <c r="D583" t="s">
        <v>869</v>
      </c>
      <c r="E583">
        <v>0</v>
      </c>
      <c r="F583">
        <v>0</v>
      </c>
      <c r="G583">
        <f t="shared" si="28"/>
        <v>0</v>
      </c>
      <c r="H583">
        <f t="shared" si="27"/>
        <v>0</v>
      </c>
      <c r="I583" t="str">
        <f>_xlfn.XLOOKUP(A583,'[1]Forecast 2026'!$A:$A,'[1]Forecast 2026'!$AJ:$AJ,"NA",0,1)</f>
        <v>NA</v>
      </c>
      <c r="J583" t="str">
        <f t="shared" si="29"/>
        <v/>
      </c>
    </row>
    <row r="584" spans="1:10" hidden="1" x14ac:dyDescent="0.35">
      <c r="A584" t="s">
        <v>1197</v>
      </c>
      <c r="B584" t="s">
        <v>1198</v>
      </c>
      <c r="C584" t="s">
        <v>868</v>
      </c>
      <c r="D584" t="s">
        <v>869</v>
      </c>
      <c r="E584">
        <v>0</v>
      </c>
      <c r="F584">
        <v>0</v>
      </c>
      <c r="G584">
        <f t="shared" si="28"/>
        <v>0</v>
      </c>
      <c r="H584">
        <f t="shared" si="27"/>
        <v>0</v>
      </c>
      <c r="I584" t="str">
        <f>_xlfn.XLOOKUP(A584,'[1]Forecast 2026'!$A:$A,'[1]Forecast 2026'!$AJ:$AJ,"NA",0,1)</f>
        <v>NA</v>
      </c>
      <c r="J584" t="str">
        <f t="shared" si="29"/>
        <v/>
      </c>
    </row>
    <row r="585" spans="1:10" hidden="1" x14ac:dyDescent="0.35">
      <c r="A585" t="s">
        <v>1199</v>
      </c>
      <c r="B585" t="s">
        <v>1200</v>
      </c>
      <c r="C585" t="s">
        <v>868</v>
      </c>
      <c r="D585" t="s">
        <v>869</v>
      </c>
      <c r="E585">
        <v>0</v>
      </c>
      <c r="F585">
        <v>0</v>
      </c>
      <c r="G585">
        <f t="shared" si="28"/>
        <v>0</v>
      </c>
      <c r="H585">
        <f t="shared" si="27"/>
        <v>0</v>
      </c>
      <c r="I585" t="str">
        <f>_xlfn.XLOOKUP(A585,'[1]Forecast 2026'!$A:$A,'[1]Forecast 2026'!$AJ:$AJ,"NA",0,1)</f>
        <v>NA</v>
      </c>
      <c r="J585" t="str">
        <f t="shared" si="29"/>
        <v/>
      </c>
    </row>
    <row r="586" spans="1:10" hidden="1" x14ac:dyDescent="0.35">
      <c r="A586" t="s">
        <v>1201</v>
      </c>
      <c r="B586" t="s">
        <v>1202</v>
      </c>
      <c r="C586" t="s">
        <v>868</v>
      </c>
      <c r="D586" t="s">
        <v>869</v>
      </c>
      <c r="E586">
        <v>0</v>
      </c>
      <c r="F586">
        <v>0</v>
      </c>
      <c r="G586">
        <f t="shared" si="28"/>
        <v>0</v>
      </c>
      <c r="H586">
        <f t="shared" si="27"/>
        <v>0</v>
      </c>
      <c r="I586" t="str">
        <f>_xlfn.XLOOKUP(A586,'[1]Forecast 2026'!$A:$A,'[1]Forecast 2026'!$AJ:$AJ,"NA",0,1)</f>
        <v>NA</v>
      </c>
      <c r="J586" t="str">
        <f t="shared" si="29"/>
        <v/>
      </c>
    </row>
    <row r="587" spans="1:10" hidden="1" x14ac:dyDescent="0.35">
      <c r="A587" t="s">
        <v>1203</v>
      </c>
      <c r="B587" t="s">
        <v>1204</v>
      </c>
      <c r="C587" t="s">
        <v>868</v>
      </c>
      <c r="D587" t="s">
        <v>869</v>
      </c>
      <c r="E587">
        <v>0</v>
      </c>
      <c r="F587">
        <v>0</v>
      </c>
      <c r="G587">
        <f t="shared" si="28"/>
        <v>0</v>
      </c>
      <c r="H587">
        <f t="shared" si="27"/>
        <v>0</v>
      </c>
      <c r="I587" t="str">
        <f>_xlfn.XLOOKUP(A587,'[1]Forecast 2026'!$A:$A,'[1]Forecast 2026'!$AJ:$AJ,"NA",0,1)</f>
        <v>NA</v>
      </c>
      <c r="J587" t="str">
        <f t="shared" si="29"/>
        <v/>
      </c>
    </row>
    <row r="588" spans="1:10" hidden="1" x14ac:dyDescent="0.35">
      <c r="A588" t="s">
        <v>1205</v>
      </c>
      <c r="B588" t="s">
        <v>1206</v>
      </c>
      <c r="C588" t="s">
        <v>868</v>
      </c>
      <c r="D588" t="s">
        <v>869</v>
      </c>
      <c r="E588">
        <v>0</v>
      </c>
      <c r="F588">
        <v>0</v>
      </c>
      <c r="G588">
        <f t="shared" si="28"/>
        <v>0</v>
      </c>
      <c r="H588">
        <f t="shared" si="27"/>
        <v>0</v>
      </c>
      <c r="I588" t="str">
        <f>_xlfn.XLOOKUP(A588,'[1]Forecast 2026'!$A:$A,'[1]Forecast 2026'!$AJ:$AJ,"NA",0,1)</f>
        <v>NA</v>
      </c>
      <c r="J588" t="str">
        <f t="shared" si="29"/>
        <v/>
      </c>
    </row>
    <row r="589" spans="1:10" hidden="1" x14ac:dyDescent="0.35">
      <c r="A589" t="s">
        <v>1207</v>
      </c>
      <c r="B589" t="s">
        <v>1208</v>
      </c>
      <c r="C589" t="s">
        <v>868</v>
      </c>
      <c r="D589" t="s">
        <v>869</v>
      </c>
      <c r="E589">
        <v>0</v>
      </c>
      <c r="F589">
        <v>0</v>
      </c>
      <c r="G589">
        <f t="shared" si="28"/>
        <v>0</v>
      </c>
      <c r="H589">
        <f t="shared" si="27"/>
        <v>0</v>
      </c>
      <c r="I589" t="str">
        <f>_xlfn.XLOOKUP(A589,'[1]Forecast 2026'!$A:$A,'[1]Forecast 2026'!$AJ:$AJ,"NA",0,1)</f>
        <v>NA</v>
      </c>
      <c r="J589" t="str">
        <f t="shared" si="29"/>
        <v/>
      </c>
    </row>
    <row r="590" spans="1:10" hidden="1" x14ac:dyDescent="0.35">
      <c r="A590" t="s">
        <v>1209</v>
      </c>
      <c r="B590" t="s">
        <v>1210</v>
      </c>
      <c r="C590" t="s">
        <v>868</v>
      </c>
      <c r="D590" t="s">
        <v>869</v>
      </c>
      <c r="E590">
        <v>0</v>
      </c>
      <c r="F590">
        <v>0</v>
      </c>
      <c r="G590">
        <f t="shared" si="28"/>
        <v>0</v>
      </c>
      <c r="H590">
        <f t="shared" si="27"/>
        <v>0</v>
      </c>
      <c r="I590" t="str">
        <f>_xlfn.XLOOKUP(A590,'[1]Forecast 2026'!$A:$A,'[1]Forecast 2026'!$AJ:$AJ,"NA",0,1)</f>
        <v>NA</v>
      </c>
      <c r="J590" t="str">
        <f t="shared" si="29"/>
        <v/>
      </c>
    </row>
    <row r="591" spans="1:10" hidden="1" x14ac:dyDescent="0.35">
      <c r="A591" t="s">
        <v>1211</v>
      </c>
      <c r="B591" t="s">
        <v>1212</v>
      </c>
      <c r="C591" t="s">
        <v>868</v>
      </c>
      <c r="D591" t="s">
        <v>869</v>
      </c>
      <c r="E591">
        <v>0</v>
      </c>
      <c r="F591">
        <v>0</v>
      </c>
      <c r="G591">
        <f t="shared" si="28"/>
        <v>0</v>
      </c>
      <c r="H591">
        <f t="shared" si="27"/>
        <v>0</v>
      </c>
      <c r="I591" t="str">
        <f>_xlfn.XLOOKUP(A591,'[1]Forecast 2026'!$A:$A,'[1]Forecast 2026'!$AJ:$AJ,"NA",0,1)</f>
        <v>NA</v>
      </c>
      <c r="J591" t="str">
        <f t="shared" si="29"/>
        <v/>
      </c>
    </row>
    <row r="592" spans="1:10" hidden="1" x14ac:dyDescent="0.35">
      <c r="A592" t="s">
        <v>1213</v>
      </c>
      <c r="B592" t="s">
        <v>1214</v>
      </c>
      <c r="C592" t="s">
        <v>868</v>
      </c>
      <c r="D592" t="s">
        <v>869</v>
      </c>
      <c r="E592">
        <v>0</v>
      </c>
      <c r="F592">
        <v>0</v>
      </c>
      <c r="G592">
        <f t="shared" si="28"/>
        <v>0</v>
      </c>
      <c r="H592">
        <f t="shared" si="27"/>
        <v>0</v>
      </c>
      <c r="I592" t="str">
        <f>_xlfn.XLOOKUP(A592,'[1]Forecast 2026'!$A:$A,'[1]Forecast 2026'!$AJ:$AJ,"NA",0,1)</f>
        <v>NA</v>
      </c>
      <c r="J592" t="str">
        <f t="shared" si="29"/>
        <v/>
      </c>
    </row>
    <row r="593" spans="1:10" hidden="1" x14ac:dyDescent="0.35">
      <c r="A593" t="s">
        <v>1215</v>
      </c>
      <c r="B593" t="s">
        <v>1216</v>
      </c>
      <c r="C593" t="s">
        <v>868</v>
      </c>
      <c r="D593" t="s">
        <v>869</v>
      </c>
      <c r="E593">
        <v>0</v>
      </c>
      <c r="F593">
        <v>0</v>
      </c>
      <c r="G593">
        <f t="shared" si="28"/>
        <v>0</v>
      </c>
      <c r="H593">
        <f t="shared" si="27"/>
        <v>0</v>
      </c>
      <c r="I593" t="str">
        <f>_xlfn.XLOOKUP(A593,'[1]Forecast 2026'!$A:$A,'[1]Forecast 2026'!$AJ:$AJ,"NA",0,1)</f>
        <v>NA</v>
      </c>
      <c r="J593" t="str">
        <f t="shared" si="29"/>
        <v/>
      </c>
    </row>
    <row r="594" spans="1:10" hidden="1" x14ac:dyDescent="0.35">
      <c r="A594" t="s">
        <v>1217</v>
      </c>
      <c r="B594" t="s">
        <v>1218</v>
      </c>
      <c r="C594" t="s">
        <v>868</v>
      </c>
      <c r="D594" t="s">
        <v>869</v>
      </c>
      <c r="E594">
        <v>0</v>
      </c>
      <c r="F594">
        <v>0</v>
      </c>
      <c r="G594">
        <f t="shared" si="28"/>
        <v>0</v>
      </c>
      <c r="H594">
        <f t="shared" si="27"/>
        <v>0</v>
      </c>
      <c r="I594" t="str">
        <f>_xlfn.XLOOKUP(A594,'[1]Forecast 2026'!$A:$A,'[1]Forecast 2026'!$AJ:$AJ,"NA",0,1)</f>
        <v>NA</v>
      </c>
      <c r="J594" t="str">
        <f t="shared" si="29"/>
        <v/>
      </c>
    </row>
    <row r="595" spans="1:10" hidden="1" x14ac:dyDescent="0.35">
      <c r="A595" t="s">
        <v>1219</v>
      </c>
      <c r="B595" t="s">
        <v>1220</v>
      </c>
      <c r="C595" t="s">
        <v>868</v>
      </c>
      <c r="D595" t="s">
        <v>869</v>
      </c>
      <c r="E595">
        <v>0</v>
      </c>
      <c r="F595">
        <v>0</v>
      </c>
      <c r="G595">
        <f t="shared" si="28"/>
        <v>0</v>
      </c>
      <c r="H595">
        <f t="shared" si="27"/>
        <v>0</v>
      </c>
      <c r="I595" t="str">
        <f>_xlfn.XLOOKUP(A595,'[1]Forecast 2026'!$A:$A,'[1]Forecast 2026'!$AJ:$AJ,"NA",0,1)</f>
        <v>NA</v>
      </c>
      <c r="J595" t="str">
        <f t="shared" si="29"/>
        <v/>
      </c>
    </row>
    <row r="596" spans="1:10" hidden="1" x14ac:dyDescent="0.35">
      <c r="A596" t="s">
        <v>1221</v>
      </c>
      <c r="B596" t="s">
        <v>1222</v>
      </c>
      <c r="C596" t="s">
        <v>868</v>
      </c>
      <c r="D596" t="s">
        <v>869</v>
      </c>
      <c r="E596">
        <v>0</v>
      </c>
      <c r="F596">
        <v>0</v>
      </c>
      <c r="G596">
        <f t="shared" si="28"/>
        <v>0</v>
      </c>
      <c r="H596">
        <f t="shared" si="27"/>
        <v>0</v>
      </c>
      <c r="I596" t="str">
        <f>_xlfn.XLOOKUP(A596,'[1]Forecast 2026'!$A:$A,'[1]Forecast 2026'!$AJ:$AJ,"NA",0,1)</f>
        <v>NA</v>
      </c>
      <c r="J596" t="str">
        <f t="shared" si="29"/>
        <v/>
      </c>
    </row>
    <row r="597" spans="1:10" hidden="1" x14ac:dyDescent="0.35">
      <c r="A597" t="s">
        <v>1223</v>
      </c>
      <c r="B597" t="s">
        <v>1224</v>
      </c>
      <c r="C597" t="s">
        <v>868</v>
      </c>
      <c r="D597" t="s">
        <v>869</v>
      </c>
      <c r="E597">
        <v>0</v>
      </c>
      <c r="F597">
        <v>0</v>
      </c>
      <c r="G597">
        <f t="shared" si="28"/>
        <v>0</v>
      </c>
      <c r="H597">
        <f t="shared" si="27"/>
        <v>0</v>
      </c>
      <c r="I597" t="str">
        <f>_xlfn.XLOOKUP(A597,'[1]Forecast 2026'!$A:$A,'[1]Forecast 2026'!$AJ:$AJ,"NA",0,1)</f>
        <v>NA</v>
      </c>
      <c r="J597" t="str">
        <f t="shared" si="29"/>
        <v/>
      </c>
    </row>
    <row r="598" spans="1:10" hidden="1" x14ac:dyDescent="0.35">
      <c r="A598" t="s">
        <v>1225</v>
      </c>
      <c r="B598" t="s">
        <v>1226</v>
      </c>
      <c r="C598" t="s">
        <v>868</v>
      </c>
      <c r="D598" t="s">
        <v>869</v>
      </c>
      <c r="E598">
        <v>0</v>
      </c>
      <c r="F598">
        <v>0</v>
      </c>
      <c r="G598">
        <f t="shared" si="28"/>
        <v>0</v>
      </c>
      <c r="H598">
        <f t="shared" si="27"/>
        <v>0</v>
      </c>
      <c r="I598" t="str">
        <f>_xlfn.XLOOKUP(A598,'[1]Forecast 2026'!$A:$A,'[1]Forecast 2026'!$AJ:$AJ,"NA",0,1)</f>
        <v>NA</v>
      </c>
      <c r="J598" t="str">
        <f t="shared" si="29"/>
        <v/>
      </c>
    </row>
    <row r="599" spans="1:10" hidden="1" x14ac:dyDescent="0.35">
      <c r="A599" t="s">
        <v>1227</v>
      </c>
      <c r="B599" t="s">
        <v>1228</v>
      </c>
      <c r="C599" t="s">
        <v>868</v>
      </c>
      <c r="D599" t="s">
        <v>869</v>
      </c>
      <c r="E599">
        <v>0</v>
      </c>
      <c r="F599">
        <v>0</v>
      </c>
      <c r="G599">
        <f t="shared" si="28"/>
        <v>0</v>
      </c>
      <c r="H599">
        <f t="shared" si="27"/>
        <v>0</v>
      </c>
      <c r="I599" t="str">
        <f>_xlfn.XLOOKUP(A599,'[1]Forecast 2026'!$A:$A,'[1]Forecast 2026'!$AJ:$AJ,"NA",0,1)</f>
        <v>NA</v>
      </c>
      <c r="J599" t="str">
        <f t="shared" si="29"/>
        <v/>
      </c>
    </row>
    <row r="600" spans="1:10" hidden="1" x14ac:dyDescent="0.35">
      <c r="A600" t="s">
        <v>1229</v>
      </c>
      <c r="B600" t="s">
        <v>1230</v>
      </c>
      <c r="C600" t="s">
        <v>868</v>
      </c>
      <c r="D600" t="s">
        <v>869</v>
      </c>
      <c r="E600">
        <v>0</v>
      </c>
      <c r="F600">
        <v>0</v>
      </c>
      <c r="G600">
        <f t="shared" si="28"/>
        <v>0</v>
      </c>
      <c r="H600">
        <f t="shared" si="27"/>
        <v>0</v>
      </c>
      <c r="I600" t="str">
        <f>_xlfn.XLOOKUP(A600,'[1]Forecast 2026'!$A:$A,'[1]Forecast 2026'!$AJ:$AJ,"NA",0,1)</f>
        <v>NA</v>
      </c>
      <c r="J600" t="str">
        <f t="shared" si="29"/>
        <v/>
      </c>
    </row>
    <row r="601" spans="1:10" hidden="1" x14ac:dyDescent="0.35">
      <c r="A601" t="s">
        <v>1231</v>
      </c>
      <c r="B601" t="s">
        <v>1232</v>
      </c>
      <c r="C601" t="s">
        <v>868</v>
      </c>
      <c r="D601" t="s">
        <v>869</v>
      </c>
      <c r="E601">
        <v>0</v>
      </c>
      <c r="F601">
        <v>0</v>
      </c>
      <c r="G601">
        <f t="shared" si="28"/>
        <v>0</v>
      </c>
      <c r="H601">
        <f t="shared" si="27"/>
        <v>0</v>
      </c>
      <c r="I601" t="str">
        <f>_xlfn.XLOOKUP(A601,'[1]Forecast 2026'!$A:$A,'[1]Forecast 2026'!$AJ:$AJ,"NA",0,1)</f>
        <v>NA</v>
      </c>
      <c r="J601" t="str">
        <f t="shared" si="29"/>
        <v/>
      </c>
    </row>
    <row r="602" spans="1:10" hidden="1" x14ac:dyDescent="0.35">
      <c r="A602" t="s">
        <v>1233</v>
      </c>
      <c r="B602" t="s">
        <v>1234</v>
      </c>
      <c r="C602" t="s">
        <v>868</v>
      </c>
      <c r="D602" t="s">
        <v>869</v>
      </c>
      <c r="E602">
        <v>0</v>
      </c>
      <c r="F602">
        <v>0</v>
      </c>
      <c r="G602">
        <f t="shared" si="28"/>
        <v>0</v>
      </c>
      <c r="H602">
        <f t="shared" si="27"/>
        <v>0</v>
      </c>
      <c r="I602" t="str">
        <f>_xlfn.XLOOKUP(A602,'[1]Forecast 2026'!$A:$A,'[1]Forecast 2026'!$AJ:$AJ,"NA",0,1)</f>
        <v>NA</v>
      </c>
      <c r="J602" t="str">
        <f t="shared" si="29"/>
        <v/>
      </c>
    </row>
    <row r="603" spans="1:10" hidden="1" x14ac:dyDescent="0.35">
      <c r="A603" t="s">
        <v>1235</v>
      </c>
      <c r="B603" t="s">
        <v>1236</v>
      </c>
      <c r="C603" t="s">
        <v>868</v>
      </c>
      <c r="D603" t="s">
        <v>869</v>
      </c>
      <c r="E603">
        <v>0</v>
      </c>
      <c r="F603">
        <v>0</v>
      </c>
      <c r="G603">
        <f t="shared" si="28"/>
        <v>0</v>
      </c>
      <c r="H603">
        <f t="shared" si="27"/>
        <v>0</v>
      </c>
      <c r="I603" t="str">
        <f>_xlfn.XLOOKUP(A603,'[1]Forecast 2026'!$A:$A,'[1]Forecast 2026'!$AJ:$AJ,"NA",0,1)</f>
        <v>NA</v>
      </c>
      <c r="J603" t="str">
        <f t="shared" si="29"/>
        <v/>
      </c>
    </row>
    <row r="604" spans="1:10" hidden="1" x14ac:dyDescent="0.35">
      <c r="A604" t="s">
        <v>1237</v>
      </c>
      <c r="B604" t="s">
        <v>1238</v>
      </c>
      <c r="C604" t="s">
        <v>868</v>
      </c>
      <c r="D604" t="s">
        <v>869</v>
      </c>
      <c r="E604">
        <v>0</v>
      </c>
      <c r="F604">
        <v>0</v>
      </c>
      <c r="G604">
        <f t="shared" si="28"/>
        <v>0</v>
      </c>
      <c r="H604">
        <f t="shared" si="27"/>
        <v>0</v>
      </c>
      <c r="I604" t="str">
        <f>_xlfn.XLOOKUP(A604,'[1]Forecast 2026'!$A:$A,'[1]Forecast 2026'!$AJ:$AJ,"NA",0,1)</f>
        <v>NA</v>
      </c>
      <c r="J604" t="str">
        <f t="shared" si="29"/>
        <v/>
      </c>
    </row>
    <row r="605" spans="1:10" hidden="1" x14ac:dyDescent="0.35">
      <c r="A605" t="s">
        <v>1239</v>
      </c>
      <c r="B605" t="s">
        <v>1240</v>
      </c>
      <c r="C605" t="s">
        <v>868</v>
      </c>
      <c r="D605" t="s">
        <v>869</v>
      </c>
      <c r="E605">
        <v>0</v>
      </c>
      <c r="F605">
        <v>0</v>
      </c>
      <c r="G605">
        <f t="shared" si="28"/>
        <v>0</v>
      </c>
      <c r="H605">
        <f t="shared" si="27"/>
        <v>0</v>
      </c>
      <c r="I605" t="str">
        <f>_xlfn.XLOOKUP(A605,'[1]Forecast 2026'!$A:$A,'[1]Forecast 2026'!$AJ:$AJ,"NA",0,1)</f>
        <v>NA</v>
      </c>
      <c r="J605" t="str">
        <f t="shared" si="29"/>
        <v/>
      </c>
    </row>
    <row r="606" spans="1:10" hidden="1" x14ac:dyDescent="0.35">
      <c r="A606" t="s">
        <v>1241</v>
      </c>
      <c r="B606" t="s">
        <v>1242</v>
      </c>
      <c r="C606" t="s">
        <v>868</v>
      </c>
      <c r="D606" t="s">
        <v>869</v>
      </c>
      <c r="E606">
        <v>0</v>
      </c>
      <c r="F606">
        <v>0</v>
      </c>
      <c r="G606">
        <f t="shared" si="28"/>
        <v>0</v>
      </c>
      <c r="H606">
        <f t="shared" si="27"/>
        <v>0</v>
      </c>
      <c r="I606" t="str">
        <f>_xlfn.XLOOKUP(A606,'[1]Forecast 2026'!$A:$A,'[1]Forecast 2026'!$AJ:$AJ,"NA",0,1)</f>
        <v>NA</v>
      </c>
      <c r="J606" t="str">
        <f t="shared" si="29"/>
        <v/>
      </c>
    </row>
    <row r="607" spans="1:10" hidden="1" x14ac:dyDescent="0.35">
      <c r="A607" t="s">
        <v>1243</v>
      </c>
      <c r="B607" t="s">
        <v>1244</v>
      </c>
      <c r="C607" t="s">
        <v>868</v>
      </c>
      <c r="D607" t="s">
        <v>869</v>
      </c>
      <c r="E607">
        <v>0</v>
      </c>
      <c r="F607">
        <v>0</v>
      </c>
      <c r="G607">
        <f t="shared" si="28"/>
        <v>0</v>
      </c>
      <c r="H607">
        <f t="shared" si="27"/>
        <v>0</v>
      </c>
      <c r="I607" t="str">
        <f>_xlfn.XLOOKUP(A607,'[1]Forecast 2026'!$A:$A,'[1]Forecast 2026'!$AJ:$AJ,"NA",0,1)</f>
        <v>NA</v>
      </c>
      <c r="J607" t="str">
        <f t="shared" si="29"/>
        <v/>
      </c>
    </row>
    <row r="608" spans="1:10" hidden="1" x14ac:dyDescent="0.35">
      <c r="A608" t="s">
        <v>1245</v>
      </c>
      <c r="B608" t="s">
        <v>1246</v>
      </c>
      <c r="C608" t="s">
        <v>868</v>
      </c>
      <c r="D608" t="s">
        <v>869</v>
      </c>
      <c r="E608">
        <v>0</v>
      </c>
      <c r="F608">
        <v>0</v>
      </c>
      <c r="G608">
        <f t="shared" si="28"/>
        <v>0</v>
      </c>
      <c r="H608">
        <f t="shared" si="27"/>
        <v>0</v>
      </c>
      <c r="I608" t="str">
        <f>_xlfn.XLOOKUP(A608,'[1]Forecast 2026'!$A:$A,'[1]Forecast 2026'!$AJ:$AJ,"NA",0,1)</f>
        <v>NA</v>
      </c>
      <c r="J608" t="str">
        <f t="shared" si="29"/>
        <v/>
      </c>
    </row>
    <row r="609" spans="1:10" hidden="1" x14ac:dyDescent="0.35">
      <c r="A609" t="s">
        <v>1247</v>
      </c>
      <c r="B609" t="s">
        <v>1248</v>
      </c>
      <c r="C609" t="s">
        <v>868</v>
      </c>
      <c r="D609" t="s">
        <v>869</v>
      </c>
      <c r="E609">
        <v>0</v>
      </c>
      <c r="F609">
        <v>0</v>
      </c>
      <c r="G609">
        <f t="shared" si="28"/>
        <v>0</v>
      </c>
      <c r="H609">
        <f t="shared" si="27"/>
        <v>0</v>
      </c>
      <c r="I609" t="str">
        <f>_xlfn.XLOOKUP(A609,'[1]Forecast 2026'!$A:$A,'[1]Forecast 2026'!$AJ:$AJ,"NA",0,1)</f>
        <v>NA</v>
      </c>
      <c r="J609" t="str">
        <f t="shared" si="29"/>
        <v/>
      </c>
    </row>
    <row r="610" spans="1:10" hidden="1" x14ac:dyDescent="0.35">
      <c r="A610" t="s">
        <v>1249</v>
      </c>
      <c r="B610" t="s">
        <v>1250</v>
      </c>
      <c r="C610" t="s">
        <v>868</v>
      </c>
      <c r="D610" t="s">
        <v>869</v>
      </c>
      <c r="E610">
        <v>0</v>
      </c>
      <c r="F610">
        <v>0</v>
      </c>
      <c r="G610">
        <f t="shared" si="28"/>
        <v>0</v>
      </c>
      <c r="H610">
        <f t="shared" si="27"/>
        <v>0</v>
      </c>
      <c r="I610" t="str">
        <f>_xlfn.XLOOKUP(A610,'[1]Forecast 2026'!$A:$A,'[1]Forecast 2026'!$AJ:$AJ,"NA",0,1)</f>
        <v>NA</v>
      </c>
      <c r="J610" t="str">
        <f t="shared" si="29"/>
        <v/>
      </c>
    </row>
    <row r="611" spans="1:10" hidden="1" x14ac:dyDescent="0.35">
      <c r="A611" t="s">
        <v>1251</v>
      </c>
      <c r="B611" t="s">
        <v>1252</v>
      </c>
      <c r="C611" t="s">
        <v>868</v>
      </c>
      <c r="D611" t="s">
        <v>869</v>
      </c>
      <c r="E611">
        <v>0</v>
      </c>
      <c r="F611">
        <v>0</v>
      </c>
      <c r="G611">
        <f t="shared" si="28"/>
        <v>0</v>
      </c>
      <c r="H611">
        <f t="shared" si="27"/>
        <v>0</v>
      </c>
      <c r="I611" t="str">
        <f>_xlfn.XLOOKUP(A611,'[1]Forecast 2026'!$A:$A,'[1]Forecast 2026'!$AJ:$AJ,"NA",0,1)</f>
        <v>NA</v>
      </c>
      <c r="J611" t="str">
        <f t="shared" si="29"/>
        <v/>
      </c>
    </row>
    <row r="612" spans="1:10" hidden="1" x14ac:dyDescent="0.35">
      <c r="A612" t="s">
        <v>1253</v>
      </c>
      <c r="B612" t="s">
        <v>1254</v>
      </c>
      <c r="C612" t="s">
        <v>868</v>
      </c>
      <c r="D612" t="s">
        <v>869</v>
      </c>
      <c r="E612">
        <v>0</v>
      </c>
      <c r="F612">
        <v>0</v>
      </c>
      <c r="G612">
        <f t="shared" si="28"/>
        <v>0</v>
      </c>
      <c r="H612">
        <f t="shared" si="27"/>
        <v>0</v>
      </c>
      <c r="I612" t="str">
        <f>_xlfn.XLOOKUP(A612,'[1]Forecast 2026'!$A:$A,'[1]Forecast 2026'!$AJ:$AJ,"NA",0,1)</f>
        <v>NA</v>
      </c>
      <c r="J612" t="str">
        <f t="shared" si="29"/>
        <v/>
      </c>
    </row>
    <row r="613" spans="1:10" hidden="1" x14ac:dyDescent="0.35">
      <c r="A613" t="s">
        <v>1255</v>
      </c>
      <c r="B613" t="s">
        <v>1256</v>
      </c>
      <c r="C613" t="s">
        <v>868</v>
      </c>
      <c r="D613" t="s">
        <v>869</v>
      </c>
      <c r="E613">
        <v>0</v>
      </c>
      <c r="F613">
        <v>0</v>
      </c>
      <c r="G613">
        <f t="shared" si="28"/>
        <v>0</v>
      </c>
      <c r="H613">
        <f t="shared" si="27"/>
        <v>0</v>
      </c>
      <c r="I613" t="str">
        <f>_xlfn.XLOOKUP(A613,'[1]Forecast 2026'!$A:$A,'[1]Forecast 2026'!$AJ:$AJ,"NA",0,1)</f>
        <v>NA</v>
      </c>
      <c r="J613" t="str">
        <f t="shared" si="29"/>
        <v/>
      </c>
    </row>
    <row r="614" spans="1:10" hidden="1" x14ac:dyDescent="0.35">
      <c r="A614" t="s">
        <v>1257</v>
      </c>
      <c r="B614" t="s">
        <v>1258</v>
      </c>
      <c r="C614" t="s">
        <v>868</v>
      </c>
      <c r="D614" t="s">
        <v>869</v>
      </c>
      <c r="E614">
        <v>0</v>
      </c>
      <c r="F614">
        <v>0</v>
      </c>
      <c r="G614">
        <f t="shared" si="28"/>
        <v>0</v>
      </c>
      <c r="H614">
        <f t="shared" si="27"/>
        <v>0</v>
      </c>
      <c r="I614" t="str">
        <f>_xlfn.XLOOKUP(A614,'[1]Forecast 2026'!$A:$A,'[1]Forecast 2026'!$AJ:$AJ,"NA",0,1)</f>
        <v>NA</v>
      </c>
      <c r="J614" t="str">
        <f t="shared" si="29"/>
        <v/>
      </c>
    </row>
    <row r="615" spans="1:10" hidden="1" x14ac:dyDescent="0.35">
      <c r="A615" t="s">
        <v>1259</v>
      </c>
      <c r="B615" t="s">
        <v>1260</v>
      </c>
      <c r="C615" t="s">
        <v>868</v>
      </c>
      <c r="D615" t="s">
        <v>869</v>
      </c>
      <c r="E615">
        <v>0</v>
      </c>
      <c r="F615">
        <v>0</v>
      </c>
      <c r="G615">
        <f t="shared" si="28"/>
        <v>0</v>
      </c>
      <c r="H615">
        <f t="shared" si="27"/>
        <v>0</v>
      </c>
      <c r="I615" t="str">
        <f>_xlfn.XLOOKUP(A615,'[1]Forecast 2026'!$A:$A,'[1]Forecast 2026'!$AJ:$AJ,"NA",0,1)</f>
        <v>NA</v>
      </c>
      <c r="J615" t="str">
        <f t="shared" si="29"/>
        <v/>
      </c>
    </row>
    <row r="616" spans="1:10" hidden="1" x14ac:dyDescent="0.35">
      <c r="A616" t="s">
        <v>1261</v>
      </c>
      <c r="B616" t="s">
        <v>1262</v>
      </c>
      <c r="C616" t="s">
        <v>868</v>
      </c>
      <c r="D616" t="s">
        <v>869</v>
      </c>
      <c r="E616">
        <v>0</v>
      </c>
      <c r="F616">
        <v>0</v>
      </c>
      <c r="G616">
        <f t="shared" si="28"/>
        <v>0</v>
      </c>
      <c r="H616">
        <f t="shared" si="27"/>
        <v>0</v>
      </c>
      <c r="I616" t="str">
        <f>_xlfn.XLOOKUP(A616,'[1]Forecast 2026'!$A:$A,'[1]Forecast 2026'!$AJ:$AJ,"NA",0,1)</f>
        <v>NA</v>
      </c>
      <c r="J616" t="str">
        <f t="shared" si="29"/>
        <v/>
      </c>
    </row>
    <row r="617" spans="1:10" hidden="1" x14ac:dyDescent="0.35">
      <c r="A617" t="s">
        <v>1263</v>
      </c>
      <c r="B617" t="s">
        <v>1264</v>
      </c>
      <c r="C617" t="s">
        <v>868</v>
      </c>
      <c r="D617" t="s">
        <v>869</v>
      </c>
      <c r="E617">
        <v>0</v>
      </c>
      <c r="F617">
        <v>0</v>
      </c>
      <c r="G617">
        <f t="shared" si="28"/>
        <v>0</v>
      </c>
      <c r="H617">
        <f t="shared" si="27"/>
        <v>0</v>
      </c>
      <c r="I617" t="str">
        <f>_xlfn.XLOOKUP(A617,'[1]Forecast 2026'!$A:$A,'[1]Forecast 2026'!$AJ:$AJ,"NA",0,1)</f>
        <v>NA</v>
      </c>
      <c r="J617" t="str">
        <f t="shared" si="29"/>
        <v/>
      </c>
    </row>
    <row r="618" spans="1:10" hidden="1" x14ac:dyDescent="0.35">
      <c r="A618" t="s">
        <v>1265</v>
      </c>
      <c r="B618" t="s">
        <v>1266</v>
      </c>
      <c r="C618" t="s">
        <v>868</v>
      </c>
      <c r="D618" t="s">
        <v>869</v>
      </c>
      <c r="E618">
        <v>0</v>
      </c>
      <c r="F618">
        <v>0</v>
      </c>
      <c r="G618">
        <f t="shared" si="28"/>
        <v>0</v>
      </c>
      <c r="H618">
        <f t="shared" si="27"/>
        <v>0</v>
      </c>
      <c r="I618" t="str">
        <f>_xlfn.XLOOKUP(A618,'[1]Forecast 2026'!$A:$A,'[1]Forecast 2026'!$AJ:$AJ,"NA",0,1)</f>
        <v>NA</v>
      </c>
      <c r="J618" t="str">
        <f t="shared" si="29"/>
        <v/>
      </c>
    </row>
    <row r="619" spans="1:10" hidden="1" x14ac:dyDescent="0.35">
      <c r="A619" t="s">
        <v>1267</v>
      </c>
      <c r="B619" t="s">
        <v>1268</v>
      </c>
      <c r="C619" t="s">
        <v>868</v>
      </c>
      <c r="D619" t="s">
        <v>869</v>
      </c>
      <c r="E619">
        <v>0</v>
      </c>
      <c r="F619">
        <v>0</v>
      </c>
      <c r="G619">
        <f t="shared" si="28"/>
        <v>0</v>
      </c>
      <c r="H619">
        <f t="shared" si="27"/>
        <v>0</v>
      </c>
      <c r="I619" t="str">
        <f>_xlfn.XLOOKUP(A619,'[1]Forecast 2026'!$A:$A,'[1]Forecast 2026'!$AJ:$AJ,"NA",0,1)</f>
        <v>NA</v>
      </c>
      <c r="J619" t="str">
        <f t="shared" si="29"/>
        <v/>
      </c>
    </row>
    <row r="620" spans="1:10" hidden="1" x14ac:dyDescent="0.35">
      <c r="A620" t="s">
        <v>1269</v>
      </c>
      <c r="B620" t="s">
        <v>1270</v>
      </c>
      <c r="C620" t="s">
        <v>868</v>
      </c>
      <c r="D620" t="s">
        <v>869</v>
      </c>
      <c r="E620">
        <v>0</v>
      </c>
      <c r="F620">
        <v>0</v>
      </c>
      <c r="G620">
        <f t="shared" si="28"/>
        <v>0</v>
      </c>
      <c r="H620">
        <f t="shared" si="27"/>
        <v>0</v>
      </c>
      <c r="I620" t="str">
        <f>_xlfn.XLOOKUP(A620,'[1]Forecast 2026'!$A:$A,'[1]Forecast 2026'!$AJ:$AJ,"NA",0,1)</f>
        <v>NA</v>
      </c>
      <c r="J620" t="str">
        <f t="shared" si="29"/>
        <v/>
      </c>
    </row>
    <row r="621" spans="1:10" hidden="1" x14ac:dyDescent="0.35">
      <c r="A621" t="s">
        <v>1271</v>
      </c>
      <c r="B621" t="s">
        <v>1272</v>
      </c>
      <c r="C621" t="s">
        <v>868</v>
      </c>
      <c r="D621" t="s">
        <v>869</v>
      </c>
      <c r="E621">
        <v>0</v>
      </c>
      <c r="F621">
        <v>0</v>
      </c>
      <c r="G621">
        <f t="shared" si="28"/>
        <v>0</v>
      </c>
      <c r="H621">
        <f t="shared" si="27"/>
        <v>0</v>
      </c>
      <c r="I621" t="str">
        <f>_xlfn.XLOOKUP(A621,'[1]Forecast 2026'!$A:$A,'[1]Forecast 2026'!$AJ:$AJ,"NA",0,1)</f>
        <v>NA</v>
      </c>
      <c r="J621" t="str">
        <f t="shared" si="29"/>
        <v/>
      </c>
    </row>
    <row r="622" spans="1:10" hidden="1" x14ac:dyDescent="0.35">
      <c r="A622" t="s">
        <v>1273</v>
      </c>
      <c r="B622" t="s">
        <v>1274</v>
      </c>
      <c r="C622" t="s">
        <v>868</v>
      </c>
      <c r="D622" t="s">
        <v>869</v>
      </c>
      <c r="E622">
        <v>0</v>
      </c>
      <c r="F622">
        <v>0</v>
      </c>
      <c r="G622">
        <f t="shared" si="28"/>
        <v>0</v>
      </c>
      <c r="H622">
        <f t="shared" si="27"/>
        <v>0</v>
      </c>
      <c r="I622" t="str">
        <f>_xlfn.XLOOKUP(A622,'[1]Forecast 2026'!$A:$A,'[1]Forecast 2026'!$AJ:$AJ,"NA",0,1)</f>
        <v>NA</v>
      </c>
      <c r="J622" t="str">
        <f t="shared" si="29"/>
        <v/>
      </c>
    </row>
    <row r="623" spans="1:10" hidden="1" x14ac:dyDescent="0.35">
      <c r="A623" t="s">
        <v>1275</v>
      </c>
      <c r="B623" t="s">
        <v>1276</v>
      </c>
      <c r="C623" t="s">
        <v>868</v>
      </c>
      <c r="D623" t="s">
        <v>869</v>
      </c>
      <c r="E623">
        <v>0</v>
      </c>
      <c r="F623">
        <v>0</v>
      </c>
      <c r="G623">
        <f t="shared" si="28"/>
        <v>0</v>
      </c>
      <c r="H623">
        <f t="shared" si="27"/>
        <v>0</v>
      </c>
      <c r="I623" t="str">
        <f>_xlfn.XLOOKUP(A623,'[1]Forecast 2026'!$A:$A,'[1]Forecast 2026'!$AJ:$AJ,"NA",0,1)</f>
        <v>NA</v>
      </c>
      <c r="J623" t="str">
        <f t="shared" si="29"/>
        <v/>
      </c>
    </row>
    <row r="624" spans="1:10" hidden="1" x14ac:dyDescent="0.35">
      <c r="A624" t="s">
        <v>1277</v>
      </c>
      <c r="B624" t="s">
        <v>1278</v>
      </c>
      <c r="C624" t="s">
        <v>868</v>
      </c>
      <c r="D624" t="s">
        <v>869</v>
      </c>
      <c r="E624">
        <v>0</v>
      </c>
      <c r="F624">
        <v>0</v>
      </c>
      <c r="G624">
        <f t="shared" si="28"/>
        <v>0</v>
      </c>
      <c r="H624">
        <f t="shared" si="27"/>
        <v>0</v>
      </c>
      <c r="I624" t="str">
        <f>_xlfn.XLOOKUP(A624,'[1]Forecast 2026'!$A:$A,'[1]Forecast 2026'!$AJ:$AJ,"NA",0,1)</f>
        <v>NA</v>
      </c>
      <c r="J624" t="str">
        <f t="shared" si="29"/>
        <v/>
      </c>
    </row>
    <row r="625" spans="1:10" hidden="1" x14ac:dyDescent="0.35">
      <c r="A625" t="s">
        <v>1279</v>
      </c>
      <c r="B625" t="s">
        <v>1280</v>
      </c>
      <c r="C625" t="s">
        <v>868</v>
      </c>
      <c r="D625" t="s">
        <v>869</v>
      </c>
      <c r="E625">
        <v>0</v>
      </c>
      <c r="F625">
        <v>0</v>
      </c>
      <c r="G625">
        <f t="shared" si="28"/>
        <v>0</v>
      </c>
      <c r="H625">
        <f t="shared" si="27"/>
        <v>0</v>
      </c>
      <c r="I625" t="str">
        <f>_xlfn.XLOOKUP(A625,'[1]Forecast 2026'!$A:$A,'[1]Forecast 2026'!$AJ:$AJ,"NA",0,1)</f>
        <v>NA</v>
      </c>
      <c r="J625" t="str">
        <f t="shared" si="29"/>
        <v/>
      </c>
    </row>
    <row r="626" spans="1:10" hidden="1" x14ac:dyDescent="0.35">
      <c r="A626" t="s">
        <v>1281</v>
      </c>
      <c r="B626" t="s">
        <v>1282</v>
      </c>
      <c r="C626" t="s">
        <v>868</v>
      </c>
      <c r="D626" t="s">
        <v>869</v>
      </c>
      <c r="E626">
        <v>0</v>
      </c>
      <c r="F626">
        <v>0</v>
      </c>
      <c r="G626">
        <f t="shared" si="28"/>
        <v>0</v>
      </c>
      <c r="H626">
        <f t="shared" si="27"/>
        <v>0</v>
      </c>
      <c r="I626" t="str">
        <f>_xlfn.XLOOKUP(A626,'[1]Forecast 2026'!$A:$A,'[1]Forecast 2026'!$AJ:$AJ,"NA",0,1)</f>
        <v>NA</v>
      </c>
      <c r="J626" t="str">
        <f t="shared" si="29"/>
        <v/>
      </c>
    </row>
    <row r="627" spans="1:10" hidden="1" x14ac:dyDescent="0.35">
      <c r="A627" t="s">
        <v>1283</v>
      </c>
      <c r="B627" t="s">
        <v>1284</v>
      </c>
      <c r="C627" t="s">
        <v>868</v>
      </c>
      <c r="D627" t="s">
        <v>869</v>
      </c>
      <c r="E627">
        <v>0</v>
      </c>
      <c r="F627">
        <v>0</v>
      </c>
      <c r="G627">
        <f t="shared" si="28"/>
        <v>0</v>
      </c>
      <c r="H627">
        <f t="shared" si="27"/>
        <v>0</v>
      </c>
      <c r="I627" t="str">
        <f>_xlfn.XLOOKUP(A627,'[1]Forecast 2026'!$A:$A,'[1]Forecast 2026'!$AJ:$AJ,"NA",0,1)</f>
        <v>NA</v>
      </c>
      <c r="J627" t="str">
        <f t="shared" si="29"/>
        <v/>
      </c>
    </row>
    <row r="628" spans="1:10" hidden="1" x14ac:dyDescent="0.35">
      <c r="A628" t="s">
        <v>1285</v>
      </c>
      <c r="B628" t="s">
        <v>1286</v>
      </c>
      <c r="C628" t="s">
        <v>868</v>
      </c>
      <c r="D628" t="s">
        <v>869</v>
      </c>
      <c r="E628">
        <v>0</v>
      </c>
      <c r="F628">
        <v>0</v>
      </c>
      <c r="G628">
        <f t="shared" si="28"/>
        <v>0</v>
      </c>
      <c r="H628">
        <f t="shared" si="27"/>
        <v>0</v>
      </c>
      <c r="I628" t="str">
        <f>_xlfn.XLOOKUP(A628,'[1]Forecast 2026'!$A:$A,'[1]Forecast 2026'!$AJ:$AJ,"NA",0,1)</f>
        <v>NA</v>
      </c>
      <c r="J628" t="str">
        <f t="shared" si="29"/>
        <v/>
      </c>
    </row>
    <row r="629" spans="1:10" hidden="1" x14ac:dyDescent="0.35">
      <c r="A629" t="s">
        <v>1287</v>
      </c>
      <c r="B629" t="s">
        <v>1288</v>
      </c>
      <c r="C629" t="s">
        <v>868</v>
      </c>
      <c r="D629" t="s">
        <v>869</v>
      </c>
      <c r="E629">
        <v>0</v>
      </c>
      <c r="F629">
        <v>0</v>
      </c>
      <c r="G629">
        <f t="shared" si="28"/>
        <v>0</v>
      </c>
      <c r="H629">
        <f t="shared" si="27"/>
        <v>0</v>
      </c>
      <c r="I629" t="str">
        <f>_xlfn.XLOOKUP(A629,'[1]Forecast 2026'!$A:$A,'[1]Forecast 2026'!$AJ:$AJ,"NA",0,1)</f>
        <v>NA</v>
      </c>
      <c r="J629" t="str">
        <f t="shared" si="29"/>
        <v/>
      </c>
    </row>
    <row r="630" spans="1:10" hidden="1" x14ac:dyDescent="0.35">
      <c r="A630" t="s">
        <v>1289</v>
      </c>
      <c r="B630" t="s">
        <v>1290</v>
      </c>
      <c r="C630" t="s">
        <v>868</v>
      </c>
      <c r="D630" t="s">
        <v>869</v>
      </c>
      <c r="E630">
        <v>0</v>
      </c>
      <c r="F630">
        <v>0</v>
      </c>
      <c r="G630">
        <f t="shared" si="28"/>
        <v>0</v>
      </c>
      <c r="H630">
        <f t="shared" si="27"/>
        <v>0</v>
      </c>
      <c r="I630" t="str">
        <f>_xlfn.XLOOKUP(A630,'[1]Forecast 2026'!$A:$A,'[1]Forecast 2026'!$AJ:$AJ,"NA",0,1)</f>
        <v>NA</v>
      </c>
      <c r="J630" t="str">
        <f t="shared" si="29"/>
        <v/>
      </c>
    </row>
    <row r="631" spans="1:10" hidden="1" x14ac:dyDescent="0.35">
      <c r="A631" t="s">
        <v>1291</v>
      </c>
      <c r="B631" t="s">
        <v>1292</v>
      </c>
      <c r="C631" t="s">
        <v>868</v>
      </c>
      <c r="D631" t="s">
        <v>869</v>
      </c>
      <c r="E631">
        <v>0</v>
      </c>
      <c r="F631">
        <v>0</v>
      </c>
      <c r="G631">
        <f t="shared" si="28"/>
        <v>0</v>
      </c>
      <c r="H631">
        <f t="shared" si="27"/>
        <v>0</v>
      </c>
      <c r="I631" t="str">
        <f>_xlfn.XLOOKUP(A631,'[1]Forecast 2026'!$A:$A,'[1]Forecast 2026'!$AJ:$AJ,"NA",0,1)</f>
        <v>NA</v>
      </c>
      <c r="J631" t="str">
        <f t="shared" si="29"/>
        <v/>
      </c>
    </row>
    <row r="632" spans="1:10" hidden="1" x14ac:dyDescent="0.35">
      <c r="A632" t="s">
        <v>1293</v>
      </c>
      <c r="B632" t="s">
        <v>1294</v>
      </c>
      <c r="C632" t="s">
        <v>868</v>
      </c>
      <c r="D632" t="s">
        <v>869</v>
      </c>
      <c r="E632">
        <v>0</v>
      </c>
      <c r="F632">
        <v>0</v>
      </c>
      <c r="G632">
        <f t="shared" si="28"/>
        <v>0</v>
      </c>
      <c r="H632">
        <f t="shared" si="27"/>
        <v>0</v>
      </c>
      <c r="I632" t="str">
        <f>_xlfn.XLOOKUP(A632,'[1]Forecast 2026'!$A:$A,'[1]Forecast 2026'!$AJ:$AJ,"NA",0,1)</f>
        <v>NA</v>
      </c>
      <c r="J632" t="str">
        <f t="shared" si="29"/>
        <v/>
      </c>
    </row>
    <row r="633" spans="1:10" hidden="1" x14ac:dyDescent="0.35">
      <c r="A633" t="s">
        <v>1295</v>
      </c>
      <c r="B633" t="s">
        <v>1296</v>
      </c>
      <c r="C633" t="s">
        <v>868</v>
      </c>
      <c r="D633" t="s">
        <v>869</v>
      </c>
      <c r="E633">
        <v>0</v>
      </c>
      <c r="F633">
        <v>0</v>
      </c>
      <c r="G633">
        <f t="shared" si="28"/>
        <v>0</v>
      </c>
      <c r="H633">
        <f t="shared" si="27"/>
        <v>0</v>
      </c>
      <c r="I633" t="str">
        <f>_xlfn.XLOOKUP(A633,'[1]Forecast 2026'!$A:$A,'[1]Forecast 2026'!$AJ:$AJ,"NA",0,1)</f>
        <v>NA</v>
      </c>
      <c r="J633" t="str">
        <f t="shared" si="29"/>
        <v/>
      </c>
    </row>
    <row r="634" spans="1:10" hidden="1" x14ac:dyDescent="0.35">
      <c r="A634" t="s">
        <v>1297</v>
      </c>
      <c r="B634" t="s">
        <v>1298</v>
      </c>
      <c r="C634" t="s">
        <v>868</v>
      </c>
      <c r="D634" t="s">
        <v>869</v>
      </c>
      <c r="E634">
        <v>0</v>
      </c>
      <c r="F634">
        <v>0</v>
      </c>
      <c r="G634">
        <f t="shared" si="28"/>
        <v>0</v>
      </c>
      <c r="H634">
        <f t="shared" si="27"/>
        <v>0</v>
      </c>
      <c r="I634" t="str">
        <f>_xlfn.XLOOKUP(A634,'[1]Forecast 2026'!$A:$A,'[1]Forecast 2026'!$AJ:$AJ,"NA",0,1)</f>
        <v>NA</v>
      </c>
      <c r="J634" t="str">
        <f t="shared" si="29"/>
        <v/>
      </c>
    </row>
    <row r="635" spans="1:10" hidden="1" x14ac:dyDescent="0.35">
      <c r="A635" t="s">
        <v>1299</v>
      </c>
      <c r="B635" t="s">
        <v>1300</v>
      </c>
      <c r="C635" t="s">
        <v>868</v>
      </c>
      <c r="D635" t="s">
        <v>869</v>
      </c>
      <c r="E635">
        <v>0</v>
      </c>
      <c r="F635">
        <v>0</v>
      </c>
      <c r="G635">
        <f t="shared" si="28"/>
        <v>0</v>
      </c>
      <c r="H635">
        <f t="shared" si="27"/>
        <v>0</v>
      </c>
      <c r="I635" t="str">
        <f>_xlfn.XLOOKUP(A635,'[1]Forecast 2026'!$A:$A,'[1]Forecast 2026'!$AJ:$AJ,"NA",0,1)</f>
        <v>NA</v>
      </c>
      <c r="J635" t="str">
        <f t="shared" si="29"/>
        <v/>
      </c>
    </row>
    <row r="636" spans="1:10" hidden="1" x14ac:dyDescent="0.35">
      <c r="A636" t="s">
        <v>1301</v>
      </c>
      <c r="B636" t="s">
        <v>460</v>
      </c>
      <c r="C636" t="s">
        <v>868</v>
      </c>
      <c r="D636" t="s">
        <v>869</v>
      </c>
      <c r="E636">
        <v>0</v>
      </c>
      <c r="F636">
        <v>0</v>
      </c>
      <c r="G636">
        <f t="shared" si="28"/>
        <v>0</v>
      </c>
      <c r="H636">
        <f t="shared" si="27"/>
        <v>0</v>
      </c>
      <c r="I636" t="str">
        <f>_xlfn.XLOOKUP(A636,'[1]Forecast 2026'!$A:$A,'[1]Forecast 2026'!$AJ:$AJ,"NA",0,1)</f>
        <v>NA</v>
      </c>
      <c r="J636" t="str">
        <f t="shared" si="29"/>
        <v/>
      </c>
    </row>
    <row r="637" spans="1:10" hidden="1" x14ac:dyDescent="0.35">
      <c r="A637" t="s">
        <v>1302</v>
      </c>
      <c r="B637" t="s">
        <v>1303</v>
      </c>
      <c r="C637" t="s">
        <v>868</v>
      </c>
      <c r="D637" t="s">
        <v>869</v>
      </c>
      <c r="E637">
        <v>0</v>
      </c>
      <c r="F637">
        <v>0</v>
      </c>
      <c r="G637">
        <f t="shared" si="28"/>
        <v>0</v>
      </c>
      <c r="H637">
        <f t="shared" si="27"/>
        <v>0</v>
      </c>
      <c r="I637" t="str">
        <f>_xlfn.XLOOKUP(A637,'[1]Forecast 2026'!$A:$A,'[1]Forecast 2026'!$AJ:$AJ,"NA",0,1)</f>
        <v>NA</v>
      </c>
      <c r="J637" t="str">
        <f t="shared" si="29"/>
        <v/>
      </c>
    </row>
    <row r="638" spans="1:10" hidden="1" x14ac:dyDescent="0.35">
      <c r="A638" t="s">
        <v>1304</v>
      </c>
      <c r="B638" t="s">
        <v>1305</v>
      </c>
      <c r="C638" t="s">
        <v>868</v>
      </c>
      <c r="D638" t="s">
        <v>869</v>
      </c>
      <c r="E638">
        <v>0</v>
      </c>
      <c r="F638">
        <v>0</v>
      </c>
      <c r="G638">
        <f t="shared" si="28"/>
        <v>0</v>
      </c>
      <c r="H638">
        <f t="shared" si="27"/>
        <v>0</v>
      </c>
      <c r="I638" t="str">
        <f>_xlfn.XLOOKUP(A638,'[1]Forecast 2026'!$A:$A,'[1]Forecast 2026'!$AJ:$AJ,"NA",0,1)</f>
        <v>NA</v>
      </c>
      <c r="J638" t="str">
        <f t="shared" si="29"/>
        <v/>
      </c>
    </row>
    <row r="639" spans="1:10" hidden="1" x14ac:dyDescent="0.35">
      <c r="A639" t="s">
        <v>1306</v>
      </c>
      <c r="B639" t="s">
        <v>1110</v>
      </c>
      <c r="C639" t="s">
        <v>868</v>
      </c>
      <c r="D639" t="s">
        <v>869</v>
      </c>
      <c r="E639">
        <v>0</v>
      </c>
      <c r="F639">
        <v>0</v>
      </c>
      <c r="G639">
        <f t="shared" si="28"/>
        <v>0</v>
      </c>
      <c r="H639">
        <f t="shared" si="27"/>
        <v>0</v>
      </c>
      <c r="I639" t="str">
        <f>_xlfn.XLOOKUP(A639,'[1]Forecast 2026'!$A:$A,'[1]Forecast 2026'!$AJ:$AJ,"NA",0,1)</f>
        <v>NA</v>
      </c>
      <c r="J639" t="str">
        <f t="shared" si="29"/>
        <v/>
      </c>
    </row>
    <row r="640" spans="1:10" hidden="1" x14ac:dyDescent="0.35">
      <c r="A640" t="s">
        <v>1307</v>
      </c>
      <c r="B640" t="s">
        <v>1308</v>
      </c>
      <c r="C640" t="s">
        <v>868</v>
      </c>
      <c r="D640" t="s">
        <v>869</v>
      </c>
      <c r="E640">
        <v>0</v>
      </c>
      <c r="F640">
        <v>0</v>
      </c>
      <c r="G640">
        <f t="shared" si="28"/>
        <v>0</v>
      </c>
      <c r="H640">
        <f t="shared" si="27"/>
        <v>0</v>
      </c>
      <c r="I640" t="str">
        <f>_xlfn.XLOOKUP(A640,'[1]Forecast 2026'!$A:$A,'[1]Forecast 2026'!$AJ:$AJ,"NA",0,1)</f>
        <v>NA</v>
      </c>
      <c r="J640" t="str">
        <f t="shared" si="29"/>
        <v/>
      </c>
    </row>
    <row r="641" spans="1:10" hidden="1" x14ac:dyDescent="0.35">
      <c r="A641" t="s">
        <v>1309</v>
      </c>
      <c r="B641" t="s">
        <v>741</v>
      </c>
      <c r="C641" t="s">
        <v>868</v>
      </c>
      <c r="D641" t="s">
        <v>869</v>
      </c>
      <c r="E641">
        <v>0</v>
      </c>
      <c r="F641">
        <v>0</v>
      </c>
      <c r="G641">
        <f t="shared" si="28"/>
        <v>0</v>
      </c>
      <c r="H641">
        <f t="shared" si="27"/>
        <v>0</v>
      </c>
      <c r="I641" t="str">
        <f>_xlfn.XLOOKUP(A641,'[1]Forecast 2026'!$A:$A,'[1]Forecast 2026'!$AJ:$AJ,"NA",0,1)</f>
        <v>NA</v>
      </c>
      <c r="J641" t="str">
        <f t="shared" si="29"/>
        <v/>
      </c>
    </row>
    <row r="642" spans="1:10" hidden="1" x14ac:dyDescent="0.35">
      <c r="A642" t="s">
        <v>1310</v>
      </c>
      <c r="B642" t="s">
        <v>1311</v>
      </c>
      <c r="C642" t="s">
        <v>868</v>
      </c>
      <c r="D642" t="s">
        <v>869</v>
      </c>
      <c r="E642">
        <v>0</v>
      </c>
      <c r="F642">
        <v>0</v>
      </c>
      <c r="G642">
        <f t="shared" si="28"/>
        <v>0</v>
      </c>
      <c r="H642">
        <f t="shared" si="27"/>
        <v>0</v>
      </c>
      <c r="I642" t="str">
        <f>_xlfn.XLOOKUP(A642,'[1]Forecast 2026'!$A:$A,'[1]Forecast 2026'!$AJ:$AJ,"NA",0,1)</f>
        <v>NA</v>
      </c>
      <c r="J642" t="str">
        <f t="shared" si="29"/>
        <v/>
      </c>
    </row>
    <row r="643" spans="1:10" hidden="1" x14ac:dyDescent="0.35">
      <c r="A643" t="s">
        <v>1312</v>
      </c>
      <c r="B643" t="s">
        <v>1313</v>
      </c>
      <c r="C643" t="s">
        <v>868</v>
      </c>
      <c r="D643" t="s">
        <v>869</v>
      </c>
      <c r="E643">
        <v>0</v>
      </c>
      <c r="F643">
        <v>0</v>
      </c>
      <c r="G643">
        <f t="shared" si="28"/>
        <v>0</v>
      </c>
      <c r="H643">
        <f t="shared" ref="H643:H706" si="30">E643-G643</f>
        <v>0</v>
      </c>
      <c r="I643" t="str">
        <f>_xlfn.XLOOKUP(A643,'[1]Forecast 2026'!$A:$A,'[1]Forecast 2026'!$AJ:$AJ,"NA",0,1)</f>
        <v>NA</v>
      </c>
      <c r="J643" t="str">
        <f t="shared" si="29"/>
        <v/>
      </c>
    </row>
    <row r="644" spans="1:10" hidden="1" x14ac:dyDescent="0.35">
      <c r="A644" t="s">
        <v>1314</v>
      </c>
      <c r="B644" t="s">
        <v>1315</v>
      </c>
      <c r="C644" t="s">
        <v>868</v>
      </c>
      <c r="D644" t="s">
        <v>869</v>
      </c>
      <c r="E644">
        <v>0</v>
      </c>
      <c r="F644">
        <v>0</v>
      </c>
      <c r="G644">
        <f t="shared" ref="G644:G707" si="31">F644*E644</f>
        <v>0</v>
      </c>
      <c r="H644">
        <f t="shared" si="30"/>
        <v>0</v>
      </c>
      <c r="I644" t="str">
        <f>_xlfn.XLOOKUP(A644,'[1]Forecast 2026'!$A:$A,'[1]Forecast 2026'!$AJ:$AJ,"NA",0,1)</f>
        <v>NA</v>
      </c>
      <c r="J644" t="str">
        <f t="shared" ref="J644:J707" si="32">IFERROR(E644-I644,"")</f>
        <v/>
      </c>
    </row>
    <row r="645" spans="1:10" hidden="1" x14ac:dyDescent="0.35">
      <c r="A645" t="s">
        <v>1316</v>
      </c>
      <c r="B645" t="s">
        <v>975</v>
      </c>
      <c r="C645" t="s">
        <v>868</v>
      </c>
      <c r="D645" t="s">
        <v>869</v>
      </c>
      <c r="E645">
        <v>0</v>
      </c>
      <c r="F645">
        <v>0</v>
      </c>
      <c r="G645">
        <f t="shared" si="31"/>
        <v>0</v>
      </c>
      <c r="H645">
        <f t="shared" si="30"/>
        <v>0</v>
      </c>
      <c r="I645" t="str">
        <f>_xlfn.XLOOKUP(A645,'[1]Forecast 2026'!$A:$A,'[1]Forecast 2026'!$AJ:$AJ,"NA",0,1)</f>
        <v>NA</v>
      </c>
      <c r="J645" t="str">
        <f t="shared" si="32"/>
        <v/>
      </c>
    </row>
    <row r="646" spans="1:10" hidden="1" x14ac:dyDescent="0.35">
      <c r="A646" t="s">
        <v>1317</v>
      </c>
      <c r="B646" t="s">
        <v>1318</v>
      </c>
      <c r="C646" t="s">
        <v>868</v>
      </c>
      <c r="D646" t="s">
        <v>869</v>
      </c>
      <c r="E646">
        <v>0</v>
      </c>
      <c r="F646">
        <v>0</v>
      </c>
      <c r="G646">
        <f t="shared" si="31"/>
        <v>0</v>
      </c>
      <c r="H646">
        <f t="shared" si="30"/>
        <v>0</v>
      </c>
      <c r="I646" t="str">
        <f>_xlfn.XLOOKUP(A646,'[1]Forecast 2026'!$A:$A,'[1]Forecast 2026'!$AJ:$AJ,"NA",0,1)</f>
        <v>NA</v>
      </c>
      <c r="J646" t="str">
        <f t="shared" si="32"/>
        <v/>
      </c>
    </row>
    <row r="647" spans="1:10" hidden="1" x14ac:dyDescent="0.35">
      <c r="A647" t="s">
        <v>1319</v>
      </c>
      <c r="B647" t="s">
        <v>436</v>
      </c>
      <c r="C647" t="s">
        <v>868</v>
      </c>
      <c r="D647" t="s">
        <v>869</v>
      </c>
      <c r="E647">
        <v>0</v>
      </c>
      <c r="F647">
        <v>0</v>
      </c>
      <c r="G647">
        <f t="shared" si="31"/>
        <v>0</v>
      </c>
      <c r="H647">
        <f t="shared" si="30"/>
        <v>0</v>
      </c>
      <c r="I647" t="str">
        <f>_xlfn.XLOOKUP(A647,'[1]Forecast 2026'!$A:$A,'[1]Forecast 2026'!$AJ:$AJ,"NA",0,1)</f>
        <v>NA</v>
      </c>
      <c r="J647" t="str">
        <f t="shared" si="32"/>
        <v/>
      </c>
    </row>
    <row r="648" spans="1:10" hidden="1" x14ac:dyDescent="0.35">
      <c r="A648" t="s">
        <v>1320</v>
      </c>
      <c r="B648" t="s">
        <v>151</v>
      </c>
      <c r="C648" t="s">
        <v>868</v>
      </c>
      <c r="D648" t="s">
        <v>869</v>
      </c>
      <c r="E648">
        <v>0</v>
      </c>
      <c r="F648">
        <v>0</v>
      </c>
      <c r="G648">
        <f t="shared" si="31"/>
        <v>0</v>
      </c>
      <c r="H648">
        <f t="shared" si="30"/>
        <v>0</v>
      </c>
      <c r="I648" t="str">
        <f>_xlfn.XLOOKUP(A648,'[1]Forecast 2026'!$A:$A,'[1]Forecast 2026'!$AJ:$AJ,"NA",0,1)</f>
        <v>NA</v>
      </c>
      <c r="J648" t="str">
        <f t="shared" si="32"/>
        <v/>
      </c>
    </row>
    <row r="649" spans="1:10" hidden="1" x14ac:dyDescent="0.35">
      <c r="A649" t="s">
        <v>1321</v>
      </c>
      <c r="B649" t="s">
        <v>1322</v>
      </c>
      <c r="C649" t="s">
        <v>868</v>
      </c>
      <c r="D649" t="s">
        <v>869</v>
      </c>
      <c r="E649">
        <v>0</v>
      </c>
      <c r="F649">
        <v>0</v>
      </c>
      <c r="G649">
        <f t="shared" si="31"/>
        <v>0</v>
      </c>
      <c r="H649">
        <f t="shared" si="30"/>
        <v>0</v>
      </c>
      <c r="I649" t="str">
        <f>_xlfn.XLOOKUP(A649,'[1]Forecast 2026'!$A:$A,'[1]Forecast 2026'!$AJ:$AJ,"NA",0,1)</f>
        <v>NA</v>
      </c>
      <c r="J649" t="str">
        <f t="shared" si="32"/>
        <v/>
      </c>
    </row>
    <row r="650" spans="1:10" hidden="1" x14ac:dyDescent="0.35">
      <c r="A650" t="s">
        <v>1323</v>
      </c>
      <c r="B650" t="s">
        <v>1324</v>
      </c>
      <c r="C650" t="s">
        <v>868</v>
      </c>
      <c r="D650" t="s">
        <v>869</v>
      </c>
      <c r="E650">
        <v>0</v>
      </c>
      <c r="F650">
        <v>0</v>
      </c>
      <c r="G650">
        <f t="shared" si="31"/>
        <v>0</v>
      </c>
      <c r="H650">
        <f t="shared" si="30"/>
        <v>0</v>
      </c>
      <c r="I650" t="str">
        <f>_xlfn.XLOOKUP(A650,'[1]Forecast 2026'!$A:$A,'[1]Forecast 2026'!$AJ:$AJ,"NA",0,1)</f>
        <v>NA</v>
      </c>
      <c r="J650" t="str">
        <f t="shared" si="32"/>
        <v/>
      </c>
    </row>
    <row r="651" spans="1:10" hidden="1" x14ac:dyDescent="0.35">
      <c r="A651" t="s">
        <v>1325</v>
      </c>
      <c r="B651" t="s">
        <v>458</v>
      </c>
      <c r="C651" t="s">
        <v>868</v>
      </c>
      <c r="D651" t="s">
        <v>869</v>
      </c>
      <c r="E651">
        <v>0</v>
      </c>
      <c r="F651">
        <v>0</v>
      </c>
      <c r="G651">
        <f t="shared" si="31"/>
        <v>0</v>
      </c>
      <c r="H651">
        <f t="shared" si="30"/>
        <v>0</v>
      </c>
      <c r="I651" t="str">
        <f>_xlfn.XLOOKUP(A651,'[1]Forecast 2026'!$A:$A,'[1]Forecast 2026'!$AJ:$AJ,"NA",0,1)</f>
        <v>NA</v>
      </c>
      <c r="J651" t="str">
        <f t="shared" si="32"/>
        <v/>
      </c>
    </row>
    <row r="652" spans="1:10" hidden="1" x14ac:dyDescent="0.35">
      <c r="A652" t="s">
        <v>1326</v>
      </c>
      <c r="B652" t="s">
        <v>1327</v>
      </c>
      <c r="C652" t="s">
        <v>868</v>
      </c>
      <c r="D652" t="s">
        <v>869</v>
      </c>
      <c r="E652">
        <v>0</v>
      </c>
      <c r="F652">
        <v>0</v>
      </c>
      <c r="G652">
        <f t="shared" si="31"/>
        <v>0</v>
      </c>
      <c r="H652">
        <f t="shared" si="30"/>
        <v>0</v>
      </c>
      <c r="I652" t="str">
        <f>_xlfn.XLOOKUP(A652,'[1]Forecast 2026'!$A:$A,'[1]Forecast 2026'!$AJ:$AJ,"NA",0,1)</f>
        <v>NA</v>
      </c>
      <c r="J652" t="str">
        <f t="shared" si="32"/>
        <v/>
      </c>
    </row>
    <row r="653" spans="1:10" hidden="1" x14ac:dyDescent="0.35">
      <c r="A653" t="s">
        <v>1328</v>
      </c>
      <c r="B653" t="s">
        <v>1329</v>
      </c>
      <c r="C653" t="s">
        <v>868</v>
      </c>
      <c r="D653" t="s">
        <v>869</v>
      </c>
      <c r="E653">
        <v>0</v>
      </c>
      <c r="F653">
        <v>0</v>
      </c>
      <c r="G653">
        <f t="shared" si="31"/>
        <v>0</v>
      </c>
      <c r="H653">
        <f t="shared" si="30"/>
        <v>0</v>
      </c>
      <c r="I653" t="str">
        <f>_xlfn.XLOOKUP(A653,'[1]Forecast 2026'!$A:$A,'[1]Forecast 2026'!$AJ:$AJ,"NA",0,1)</f>
        <v>NA</v>
      </c>
      <c r="J653" t="str">
        <f t="shared" si="32"/>
        <v/>
      </c>
    </row>
    <row r="654" spans="1:10" hidden="1" x14ac:dyDescent="0.35">
      <c r="A654" t="s">
        <v>1330</v>
      </c>
      <c r="B654" t="s">
        <v>1331</v>
      </c>
      <c r="C654" t="s">
        <v>868</v>
      </c>
      <c r="D654" t="s">
        <v>869</v>
      </c>
      <c r="E654">
        <v>0</v>
      </c>
      <c r="F654">
        <v>0</v>
      </c>
      <c r="G654">
        <f t="shared" si="31"/>
        <v>0</v>
      </c>
      <c r="H654">
        <f t="shared" si="30"/>
        <v>0</v>
      </c>
      <c r="I654" t="str">
        <f>_xlfn.XLOOKUP(A654,'[1]Forecast 2026'!$A:$A,'[1]Forecast 2026'!$AJ:$AJ,"NA",0,1)</f>
        <v>NA</v>
      </c>
      <c r="J654" t="str">
        <f t="shared" si="32"/>
        <v/>
      </c>
    </row>
    <row r="655" spans="1:10" hidden="1" x14ac:dyDescent="0.35">
      <c r="A655" t="s">
        <v>1332</v>
      </c>
      <c r="B655" t="s">
        <v>1333</v>
      </c>
      <c r="C655" t="s">
        <v>868</v>
      </c>
      <c r="D655" t="s">
        <v>869</v>
      </c>
      <c r="E655">
        <v>0</v>
      </c>
      <c r="F655">
        <v>0</v>
      </c>
      <c r="G655">
        <f t="shared" si="31"/>
        <v>0</v>
      </c>
      <c r="H655">
        <f t="shared" si="30"/>
        <v>0</v>
      </c>
      <c r="I655" t="str">
        <f>_xlfn.XLOOKUP(A655,'[1]Forecast 2026'!$A:$A,'[1]Forecast 2026'!$AJ:$AJ,"NA",0,1)</f>
        <v>NA</v>
      </c>
      <c r="J655" t="str">
        <f t="shared" si="32"/>
        <v/>
      </c>
    </row>
    <row r="656" spans="1:10" hidden="1" x14ac:dyDescent="0.35">
      <c r="A656" t="s">
        <v>1334</v>
      </c>
      <c r="B656" t="s">
        <v>1110</v>
      </c>
      <c r="C656" t="s">
        <v>868</v>
      </c>
      <c r="D656" t="s">
        <v>869</v>
      </c>
      <c r="E656">
        <v>0</v>
      </c>
      <c r="F656">
        <v>0</v>
      </c>
      <c r="G656">
        <f t="shared" si="31"/>
        <v>0</v>
      </c>
      <c r="H656">
        <f t="shared" si="30"/>
        <v>0</v>
      </c>
      <c r="I656" t="str">
        <f>_xlfn.XLOOKUP(A656,'[1]Forecast 2026'!$A:$A,'[1]Forecast 2026'!$AJ:$AJ,"NA",0,1)</f>
        <v>NA</v>
      </c>
      <c r="J656" t="str">
        <f t="shared" si="32"/>
        <v/>
      </c>
    </row>
    <row r="657" spans="1:10" hidden="1" x14ac:dyDescent="0.35">
      <c r="A657" t="s">
        <v>1335</v>
      </c>
      <c r="B657" t="s">
        <v>1336</v>
      </c>
      <c r="C657" t="s">
        <v>868</v>
      </c>
      <c r="D657" t="s">
        <v>869</v>
      </c>
      <c r="E657">
        <v>0</v>
      </c>
      <c r="F657">
        <v>0</v>
      </c>
      <c r="G657">
        <f t="shared" si="31"/>
        <v>0</v>
      </c>
      <c r="H657">
        <f t="shared" si="30"/>
        <v>0</v>
      </c>
      <c r="I657" t="str">
        <f>_xlfn.XLOOKUP(A657,'[1]Forecast 2026'!$A:$A,'[1]Forecast 2026'!$AJ:$AJ,"NA",0,1)</f>
        <v>NA</v>
      </c>
      <c r="J657" t="str">
        <f t="shared" si="32"/>
        <v/>
      </c>
    </row>
    <row r="658" spans="1:10" hidden="1" x14ac:dyDescent="0.35">
      <c r="A658" t="s">
        <v>1337</v>
      </c>
      <c r="B658" t="s">
        <v>1338</v>
      </c>
      <c r="C658" t="s">
        <v>868</v>
      </c>
      <c r="D658" t="s">
        <v>869</v>
      </c>
      <c r="E658">
        <v>0</v>
      </c>
      <c r="F658">
        <v>0</v>
      </c>
      <c r="G658">
        <f t="shared" si="31"/>
        <v>0</v>
      </c>
      <c r="H658">
        <f t="shared" si="30"/>
        <v>0</v>
      </c>
      <c r="I658" t="str">
        <f>_xlfn.XLOOKUP(A658,'[1]Forecast 2026'!$A:$A,'[1]Forecast 2026'!$AJ:$AJ,"NA",0,1)</f>
        <v>NA</v>
      </c>
      <c r="J658" t="str">
        <f t="shared" si="32"/>
        <v/>
      </c>
    </row>
    <row r="659" spans="1:10" hidden="1" x14ac:dyDescent="0.35">
      <c r="A659" t="s">
        <v>1339</v>
      </c>
      <c r="B659" t="s">
        <v>1340</v>
      </c>
      <c r="C659" t="s">
        <v>868</v>
      </c>
      <c r="D659" t="s">
        <v>869</v>
      </c>
      <c r="E659">
        <v>0</v>
      </c>
      <c r="F659">
        <v>0</v>
      </c>
      <c r="G659">
        <f t="shared" si="31"/>
        <v>0</v>
      </c>
      <c r="H659">
        <f t="shared" si="30"/>
        <v>0</v>
      </c>
      <c r="I659" t="str">
        <f>_xlfn.XLOOKUP(A659,'[1]Forecast 2026'!$A:$A,'[1]Forecast 2026'!$AJ:$AJ,"NA",0,1)</f>
        <v>NA</v>
      </c>
      <c r="J659" t="str">
        <f t="shared" si="32"/>
        <v/>
      </c>
    </row>
    <row r="660" spans="1:10" hidden="1" x14ac:dyDescent="0.35">
      <c r="A660" t="s">
        <v>1341</v>
      </c>
      <c r="B660" t="s">
        <v>1342</v>
      </c>
      <c r="C660" t="s">
        <v>868</v>
      </c>
      <c r="D660" t="s">
        <v>869</v>
      </c>
      <c r="E660">
        <v>0</v>
      </c>
      <c r="F660">
        <v>0</v>
      </c>
      <c r="G660">
        <f t="shared" si="31"/>
        <v>0</v>
      </c>
      <c r="H660">
        <f t="shared" si="30"/>
        <v>0</v>
      </c>
      <c r="I660" t="str">
        <f>_xlfn.XLOOKUP(A660,'[1]Forecast 2026'!$A:$A,'[1]Forecast 2026'!$AJ:$AJ,"NA",0,1)</f>
        <v>NA</v>
      </c>
      <c r="J660" t="str">
        <f t="shared" si="32"/>
        <v/>
      </c>
    </row>
    <row r="661" spans="1:10" hidden="1" x14ac:dyDescent="0.35">
      <c r="A661" t="s">
        <v>1343</v>
      </c>
      <c r="B661" t="s">
        <v>1344</v>
      </c>
      <c r="C661" t="s">
        <v>868</v>
      </c>
      <c r="D661" t="s">
        <v>869</v>
      </c>
      <c r="E661">
        <v>0</v>
      </c>
      <c r="F661">
        <v>0</v>
      </c>
      <c r="G661">
        <f t="shared" si="31"/>
        <v>0</v>
      </c>
      <c r="H661">
        <f t="shared" si="30"/>
        <v>0</v>
      </c>
      <c r="I661" t="str">
        <f>_xlfn.XLOOKUP(A661,'[1]Forecast 2026'!$A:$A,'[1]Forecast 2026'!$AJ:$AJ,"NA",0,1)</f>
        <v>NA</v>
      </c>
      <c r="J661" t="str">
        <f t="shared" si="32"/>
        <v/>
      </c>
    </row>
    <row r="662" spans="1:10" hidden="1" x14ac:dyDescent="0.35">
      <c r="A662" t="s">
        <v>1345</v>
      </c>
      <c r="B662" t="s">
        <v>1346</v>
      </c>
      <c r="C662" t="s">
        <v>868</v>
      </c>
      <c r="D662" t="s">
        <v>869</v>
      </c>
      <c r="E662">
        <v>0</v>
      </c>
      <c r="F662">
        <v>0</v>
      </c>
      <c r="G662">
        <f t="shared" si="31"/>
        <v>0</v>
      </c>
      <c r="H662">
        <f t="shared" si="30"/>
        <v>0</v>
      </c>
      <c r="I662" t="str">
        <f>_xlfn.XLOOKUP(A662,'[1]Forecast 2026'!$A:$A,'[1]Forecast 2026'!$AJ:$AJ,"NA",0,1)</f>
        <v>NA</v>
      </c>
      <c r="J662" t="str">
        <f t="shared" si="32"/>
        <v/>
      </c>
    </row>
    <row r="663" spans="1:10" hidden="1" x14ac:dyDescent="0.35">
      <c r="A663" t="s">
        <v>1347</v>
      </c>
      <c r="B663" t="s">
        <v>1348</v>
      </c>
      <c r="C663" t="s">
        <v>868</v>
      </c>
      <c r="D663" t="s">
        <v>869</v>
      </c>
      <c r="E663">
        <v>0</v>
      </c>
      <c r="F663">
        <v>0</v>
      </c>
      <c r="G663">
        <f t="shared" si="31"/>
        <v>0</v>
      </c>
      <c r="H663">
        <f t="shared" si="30"/>
        <v>0</v>
      </c>
      <c r="I663" t="str">
        <f>_xlfn.XLOOKUP(A663,'[1]Forecast 2026'!$A:$A,'[1]Forecast 2026'!$AJ:$AJ,"NA",0,1)</f>
        <v>NA</v>
      </c>
      <c r="J663" t="str">
        <f t="shared" si="32"/>
        <v/>
      </c>
    </row>
    <row r="664" spans="1:10" hidden="1" x14ac:dyDescent="0.35">
      <c r="A664" t="s">
        <v>1349</v>
      </c>
      <c r="B664" t="s">
        <v>1350</v>
      </c>
      <c r="C664" t="s">
        <v>868</v>
      </c>
      <c r="D664" t="s">
        <v>869</v>
      </c>
      <c r="E664">
        <v>0</v>
      </c>
      <c r="F664">
        <v>0</v>
      </c>
      <c r="G664">
        <f t="shared" si="31"/>
        <v>0</v>
      </c>
      <c r="H664">
        <f t="shared" si="30"/>
        <v>0</v>
      </c>
      <c r="I664" t="str">
        <f>_xlfn.XLOOKUP(A664,'[1]Forecast 2026'!$A:$A,'[1]Forecast 2026'!$AJ:$AJ,"NA",0,1)</f>
        <v>NA</v>
      </c>
      <c r="J664" t="str">
        <f t="shared" si="32"/>
        <v/>
      </c>
    </row>
    <row r="665" spans="1:10" hidden="1" x14ac:dyDescent="0.35">
      <c r="A665" t="s">
        <v>1351</v>
      </c>
      <c r="B665" t="s">
        <v>1352</v>
      </c>
      <c r="C665" t="s">
        <v>868</v>
      </c>
      <c r="D665" t="s">
        <v>869</v>
      </c>
      <c r="E665">
        <v>0</v>
      </c>
      <c r="F665">
        <v>0</v>
      </c>
      <c r="G665">
        <f t="shared" si="31"/>
        <v>0</v>
      </c>
      <c r="H665">
        <f t="shared" si="30"/>
        <v>0</v>
      </c>
      <c r="I665" t="str">
        <f>_xlfn.XLOOKUP(A665,'[1]Forecast 2026'!$A:$A,'[1]Forecast 2026'!$AJ:$AJ,"NA",0,1)</f>
        <v>NA</v>
      </c>
      <c r="J665" t="str">
        <f t="shared" si="32"/>
        <v/>
      </c>
    </row>
    <row r="666" spans="1:10" hidden="1" x14ac:dyDescent="0.35">
      <c r="A666" t="s">
        <v>1353</v>
      </c>
      <c r="B666" t="s">
        <v>1354</v>
      </c>
      <c r="C666" t="s">
        <v>868</v>
      </c>
      <c r="D666" t="s">
        <v>869</v>
      </c>
      <c r="E666">
        <v>0</v>
      </c>
      <c r="F666">
        <v>0</v>
      </c>
      <c r="G666">
        <f t="shared" si="31"/>
        <v>0</v>
      </c>
      <c r="H666">
        <f t="shared" si="30"/>
        <v>0</v>
      </c>
      <c r="I666" t="str">
        <f>_xlfn.XLOOKUP(A666,'[1]Forecast 2026'!$A:$A,'[1]Forecast 2026'!$AJ:$AJ,"NA",0,1)</f>
        <v>NA</v>
      </c>
      <c r="J666" t="str">
        <f t="shared" si="32"/>
        <v/>
      </c>
    </row>
    <row r="667" spans="1:10" hidden="1" x14ac:dyDescent="0.35">
      <c r="A667" t="s">
        <v>1355</v>
      </c>
      <c r="B667" t="s">
        <v>1356</v>
      </c>
      <c r="C667" t="s">
        <v>868</v>
      </c>
      <c r="D667" t="s">
        <v>869</v>
      </c>
      <c r="E667">
        <v>0</v>
      </c>
      <c r="F667">
        <v>0</v>
      </c>
      <c r="G667">
        <f t="shared" si="31"/>
        <v>0</v>
      </c>
      <c r="H667">
        <f t="shared" si="30"/>
        <v>0</v>
      </c>
      <c r="I667" t="str">
        <f>_xlfn.XLOOKUP(A667,'[1]Forecast 2026'!$A:$A,'[1]Forecast 2026'!$AJ:$AJ,"NA",0,1)</f>
        <v>NA</v>
      </c>
      <c r="J667" t="str">
        <f t="shared" si="32"/>
        <v/>
      </c>
    </row>
    <row r="668" spans="1:10" hidden="1" x14ac:dyDescent="0.35">
      <c r="A668" t="s">
        <v>1357</v>
      </c>
      <c r="B668" t="s">
        <v>1358</v>
      </c>
      <c r="C668" t="s">
        <v>868</v>
      </c>
      <c r="D668" t="s">
        <v>869</v>
      </c>
      <c r="E668">
        <v>0</v>
      </c>
      <c r="F668">
        <v>0</v>
      </c>
      <c r="G668">
        <f t="shared" si="31"/>
        <v>0</v>
      </c>
      <c r="H668">
        <f t="shared" si="30"/>
        <v>0</v>
      </c>
      <c r="I668" t="str">
        <f>_xlfn.XLOOKUP(A668,'[1]Forecast 2026'!$A:$A,'[1]Forecast 2026'!$AJ:$AJ,"NA",0,1)</f>
        <v>NA</v>
      </c>
      <c r="J668" t="str">
        <f t="shared" si="32"/>
        <v/>
      </c>
    </row>
    <row r="669" spans="1:10" hidden="1" x14ac:dyDescent="0.35">
      <c r="A669" t="s">
        <v>1359</v>
      </c>
      <c r="B669" t="s">
        <v>1023</v>
      </c>
      <c r="C669" t="s">
        <v>868</v>
      </c>
      <c r="D669" t="s">
        <v>869</v>
      </c>
      <c r="E669">
        <v>0</v>
      </c>
      <c r="F669">
        <v>0</v>
      </c>
      <c r="G669">
        <f t="shared" si="31"/>
        <v>0</v>
      </c>
      <c r="H669">
        <f t="shared" si="30"/>
        <v>0</v>
      </c>
      <c r="I669" t="str">
        <f>_xlfn.XLOOKUP(A669,'[1]Forecast 2026'!$A:$A,'[1]Forecast 2026'!$AJ:$AJ,"NA",0,1)</f>
        <v>NA</v>
      </c>
      <c r="J669" t="str">
        <f t="shared" si="32"/>
        <v/>
      </c>
    </row>
    <row r="670" spans="1:10" hidden="1" x14ac:dyDescent="0.35">
      <c r="A670" t="s">
        <v>1360</v>
      </c>
      <c r="B670" t="s">
        <v>1361</v>
      </c>
      <c r="C670" t="s">
        <v>868</v>
      </c>
      <c r="D670" t="s">
        <v>869</v>
      </c>
      <c r="E670">
        <v>0</v>
      </c>
      <c r="F670">
        <v>0</v>
      </c>
      <c r="G670">
        <f t="shared" si="31"/>
        <v>0</v>
      </c>
      <c r="H670">
        <f t="shared" si="30"/>
        <v>0</v>
      </c>
      <c r="I670" t="str">
        <f>_xlfn.XLOOKUP(A670,'[1]Forecast 2026'!$A:$A,'[1]Forecast 2026'!$AJ:$AJ,"NA",0,1)</f>
        <v>NA</v>
      </c>
      <c r="J670" t="str">
        <f t="shared" si="32"/>
        <v/>
      </c>
    </row>
    <row r="671" spans="1:10" hidden="1" x14ac:dyDescent="0.35">
      <c r="A671" t="s">
        <v>1362</v>
      </c>
      <c r="B671" t="s">
        <v>933</v>
      </c>
      <c r="C671" t="s">
        <v>868</v>
      </c>
      <c r="D671" t="s">
        <v>869</v>
      </c>
      <c r="E671">
        <v>0</v>
      </c>
      <c r="F671">
        <v>0</v>
      </c>
      <c r="G671">
        <f t="shared" si="31"/>
        <v>0</v>
      </c>
      <c r="H671">
        <f t="shared" si="30"/>
        <v>0</v>
      </c>
      <c r="I671" t="str">
        <f>_xlfn.XLOOKUP(A671,'[1]Forecast 2026'!$A:$A,'[1]Forecast 2026'!$AJ:$AJ,"NA",0,1)</f>
        <v>NA</v>
      </c>
      <c r="J671" t="str">
        <f t="shared" si="32"/>
        <v/>
      </c>
    </row>
    <row r="672" spans="1:10" hidden="1" x14ac:dyDescent="0.35">
      <c r="A672" t="s">
        <v>1363</v>
      </c>
      <c r="B672" t="s">
        <v>1364</v>
      </c>
      <c r="C672" t="s">
        <v>868</v>
      </c>
      <c r="D672" t="s">
        <v>869</v>
      </c>
      <c r="E672">
        <v>0</v>
      </c>
      <c r="F672">
        <v>0</v>
      </c>
      <c r="G672">
        <f t="shared" si="31"/>
        <v>0</v>
      </c>
      <c r="H672">
        <f t="shared" si="30"/>
        <v>0</v>
      </c>
      <c r="I672" t="str">
        <f>_xlfn.XLOOKUP(A672,'[1]Forecast 2026'!$A:$A,'[1]Forecast 2026'!$AJ:$AJ,"NA",0,1)</f>
        <v>NA</v>
      </c>
      <c r="J672" t="str">
        <f t="shared" si="32"/>
        <v/>
      </c>
    </row>
    <row r="673" spans="1:10" hidden="1" x14ac:dyDescent="0.35">
      <c r="A673" t="s">
        <v>1365</v>
      </c>
      <c r="B673" t="s">
        <v>871</v>
      </c>
      <c r="C673" t="s">
        <v>868</v>
      </c>
      <c r="D673" t="s">
        <v>869</v>
      </c>
      <c r="E673">
        <v>0</v>
      </c>
      <c r="F673">
        <v>0</v>
      </c>
      <c r="G673">
        <f t="shared" si="31"/>
        <v>0</v>
      </c>
      <c r="H673">
        <f t="shared" si="30"/>
        <v>0</v>
      </c>
      <c r="I673" t="str">
        <f>_xlfn.XLOOKUP(A673,'[1]Forecast 2026'!$A:$A,'[1]Forecast 2026'!$AJ:$AJ,"NA",0,1)</f>
        <v>NA</v>
      </c>
      <c r="J673" t="str">
        <f t="shared" si="32"/>
        <v/>
      </c>
    </row>
    <row r="674" spans="1:10" hidden="1" x14ac:dyDescent="0.35">
      <c r="A674" t="s">
        <v>1366</v>
      </c>
      <c r="B674" t="s">
        <v>1367</v>
      </c>
      <c r="C674" t="s">
        <v>868</v>
      </c>
      <c r="D674" t="s">
        <v>869</v>
      </c>
      <c r="E674">
        <v>0</v>
      </c>
      <c r="F674">
        <v>0</v>
      </c>
      <c r="G674">
        <f t="shared" si="31"/>
        <v>0</v>
      </c>
      <c r="H674">
        <f t="shared" si="30"/>
        <v>0</v>
      </c>
      <c r="I674" t="str">
        <f>_xlfn.XLOOKUP(A674,'[1]Forecast 2026'!$A:$A,'[1]Forecast 2026'!$AJ:$AJ,"NA",0,1)</f>
        <v>NA</v>
      </c>
      <c r="J674" t="str">
        <f t="shared" si="32"/>
        <v/>
      </c>
    </row>
    <row r="675" spans="1:10" hidden="1" x14ac:dyDescent="0.35">
      <c r="A675" t="s">
        <v>1368</v>
      </c>
      <c r="B675" t="s">
        <v>1369</v>
      </c>
      <c r="C675" t="s">
        <v>868</v>
      </c>
      <c r="D675" t="s">
        <v>869</v>
      </c>
      <c r="E675">
        <v>0</v>
      </c>
      <c r="F675">
        <v>0</v>
      </c>
      <c r="G675">
        <f t="shared" si="31"/>
        <v>0</v>
      </c>
      <c r="H675">
        <f t="shared" si="30"/>
        <v>0</v>
      </c>
      <c r="I675" t="str">
        <f>_xlfn.XLOOKUP(A675,'[1]Forecast 2026'!$A:$A,'[1]Forecast 2026'!$AJ:$AJ,"NA",0,1)</f>
        <v>NA</v>
      </c>
      <c r="J675" t="str">
        <f t="shared" si="32"/>
        <v/>
      </c>
    </row>
    <row r="676" spans="1:10" hidden="1" x14ac:dyDescent="0.35">
      <c r="A676" t="s">
        <v>1370</v>
      </c>
      <c r="B676" t="s">
        <v>1371</v>
      </c>
      <c r="C676" t="s">
        <v>868</v>
      </c>
      <c r="D676" t="s">
        <v>869</v>
      </c>
      <c r="E676">
        <v>0</v>
      </c>
      <c r="F676">
        <v>0</v>
      </c>
      <c r="G676">
        <f t="shared" si="31"/>
        <v>0</v>
      </c>
      <c r="H676">
        <f t="shared" si="30"/>
        <v>0</v>
      </c>
      <c r="I676" t="str">
        <f>_xlfn.XLOOKUP(A676,'[1]Forecast 2026'!$A:$A,'[1]Forecast 2026'!$AJ:$AJ,"NA",0,1)</f>
        <v>NA</v>
      </c>
      <c r="J676" t="str">
        <f t="shared" si="32"/>
        <v/>
      </c>
    </row>
    <row r="677" spans="1:10" hidden="1" x14ac:dyDescent="0.35">
      <c r="A677" t="s">
        <v>1372</v>
      </c>
      <c r="B677" t="s">
        <v>1373</v>
      </c>
      <c r="C677" t="s">
        <v>868</v>
      </c>
      <c r="D677" t="s">
        <v>869</v>
      </c>
      <c r="E677">
        <v>0</v>
      </c>
      <c r="F677">
        <v>0</v>
      </c>
      <c r="G677">
        <f t="shared" si="31"/>
        <v>0</v>
      </c>
      <c r="H677">
        <f t="shared" si="30"/>
        <v>0</v>
      </c>
      <c r="I677" t="str">
        <f>_xlfn.XLOOKUP(A677,'[1]Forecast 2026'!$A:$A,'[1]Forecast 2026'!$AJ:$AJ,"NA",0,1)</f>
        <v>NA</v>
      </c>
      <c r="J677" t="str">
        <f t="shared" si="32"/>
        <v/>
      </c>
    </row>
    <row r="678" spans="1:10" hidden="1" x14ac:dyDescent="0.35">
      <c r="A678" t="s">
        <v>1374</v>
      </c>
      <c r="B678" t="s">
        <v>1375</v>
      </c>
      <c r="C678" t="s">
        <v>868</v>
      </c>
      <c r="D678" t="s">
        <v>869</v>
      </c>
      <c r="E678">
        <v>0</v>
      </c>
      <c r="F678">
        <v>0</v>
      </c>
      <c r="G678">
        <f t="shared" si="31"/>
        <v>0</v>
      </c>
      <c r="H678">
        <f t="shared" si="30"/>
        <v>0</v>
      </c>
      <c r="I678" t="str">
        <f>_xlfn.XLOOKUP(A678,'[1]Forecast 2026'!$A:$A,'[1]Forecast 2026'!$AJ:$AJ,"NA",0,1)</f>
        <v>NA</v>
      </c>
      <c r="J678" t="str">
        <f t="shared" si="32"/>
        <v/>
      </c>
    </row>
    <row r="679" spans="1:10" hidden="1" x14ac:dyDescent="0.35">
      <c r="A679" t="s">
        <v>1376</v>
      </c>
      <c r="B679" t="s">
        <v>1377</v>
      </c>
      <c r="C679" t="s">
        <v>868</v>
      </c>
      <c r="D679" t="s">
        <v>869</v>
      </c>
      <c r="E679">
        <v>0</v>
      </c>
      <c r="F679">
        <v>0</v>
      </c>
      <c r="G679">
        <f t="shared" si="31"/>
        <v>0</v>
      </c>
      <c r="H679">
        <f t="shared" si="30"/>
        <v>0</v>
      </c>
      <c r="I679" t="str">
        <f>_xlfn.XLOOKUP(A679,'[1]Forecast 2026'!$A:$A,'[1]Forecast 2026'!$AJ:$AJ,"NA",0,1)</f>
        <v>NA</v>
      </c>
      <c r="J679" t="str">
        <f t="shared" si="32"/>
        <v/>
      </c>
    </row>
    <row r="680" spans="1:10" hidden="1" x14ac:dyDescent="0.35">
      <c r="A680" t="s">
        <v>1378</v>
      </c>
      <c r="B680" t="s">
        <v>1379</v>
      </c>
      <c r="C680" t="s">
        <v>868</v>
      </c>
      <c r="D680" t="s">
        <v>869</v>
      </c>
      <c r="E680">
        <v>0</v>
      </c>
      <c r="F680">
        <v>0</v>
      </c>
      <c r="G680">
        <f t="shared" si="31"/>
        <v>0</v>
      </c>
      <c r="H680">
        <f t="shared" si="30"/>
        <v>0</v>
      </c>
      <c r="I680" t="str">
        <f>_xlfn.XLOOKUP(A680,'[1]Forecast 2026'!$A:$A,'[1]Forecast 2026'!$AJ:$AJ,"NA",0,1)</f>
        <v>NA</v>
      </c>
      <c r="J680" t="str">
        <f t="shared" si="32"/>
        <v/>
      </c>
    </row>
    <row r="681" spans="1:10" hidden="1" x14ac:dyDescent="0.35">
      <c r="A681" t="s">
        <v>1380</v>
      </c>
      <c r="B681" t="s">
        <v>1381</v>
      </c>
      <c r="C681" t="s">
        <v>868</v>
      </c>
      <c r="D681" t="s">
        <v>869</v>
      </c>
      <c r="E681">
        <v>0</v>
      </c>
      <c r="F681">
        <v>0</v>
      </c>
      <c r="G681">
        <f t="shared" si="31"/>
        <v>0</v>
      </c>
      <c r="H681">
        <f t="shared" si="30"/>
        <v>0</v>
      </c>
      <c r="I681" t="str">
        <f>_xlfn.XLOOKUP(A681,'[1]Forecast 2026'!$A:$A,'[1]Forecast 2026'!$AJ:$AJ,"NA",0,1)</f>
        <v>NA</v>
      </c>
      <c r="J681" t="str">
        <f t="shared" si="32"/>
        <v/>
      </c>
    </row>
    <row r="682" spans="1:10" hidden="1" x14ac:dyDescent="0.35">
      <c r="A682" t="s">
        <v>1382</v>
      </c>
      <c r="B682" t="s">
        <v>1383</v>
      </c>
      <c r="C682" t="s">
        <v>868</v>
      </c>
      <c r="D682" t="s">
        <v>869</v>
      </c>
      <c r="E682">
        <v>0</v>
      </c>
      <c r="F682">
        <v>0</v>
      </c>
      <c r="G682">
        <f t="shared" si="31"/>
        <v>0</v>
      </c>
      <c r="H682">
        <f t="shared" si="30"/>
        <v>0</v>
      </c>
      <c r="I682" t="str">
        <f>_xlfn.XLOOKUP(A682,'[1]Forecast 2026'!$A:$A,'[1]Forecast 2026'!$AJ:$AJ,"NA",0,1)</f>
        <v>NA</v>
      </c>
      <c r="J682" t="str">
        <f t="shared" si="32"/>
        <v/>
      </c>
    </row>
    <row r="683" spans="1:10" hidden="1" x14ac:dyDescent="0.35">
      <c r="A683" t="s">
        <v>1384</v>
      </c>
      <c r="B683" t="s">
        <v>1385</v>
      </c>
      <c r="C683" t="s">
        <v>868</v>
      </c>
      <c r="D683" t="s">
        <v>869</v>
      </c>
      <c r="E683">
        <v>0</v>
      </c>
      <c r="F683">
        <v>0</v>
      </c>
      <c r="G683">
        <f t="shared" si="31"/>
        <v>0</v>
      </c>
      <c r="H683">
        <f t="shared" si="30"/>
        <v>0</v>
      </c>
      <c r="I683" t="str">
        <f>_xlfn.XLOOKUP(A683,'[1]Forecast 2026'!$A:$A,'[1]Forecast 2026'!$AJ:$AJ,"NA",0,1)</f>
        <v>NA</v>
      </c>
      <c r="J683" t="str">
        <f t="shared" si="32"/>
        <v/>
      </c>
    </row>
    <row r="684" spans="1:10" hidden="1" x14ac:dyDescent="0.35">
      <c r="A684" t="s">
        <v>1386</v>
      </c>
      <c r="B684" t="s">
        <v>1387</v>
      </c>
      <c r="C684" t="s">
        <v>868</v>
      </c>
      <c r="D684" t="s">
        <v>869</v>
      </c>
      <c r="E684">
        <v>0</v>
      </c>
      <c r="F684">
        <v>0</v>
      </c>
      <c r="G684">
        <f t="shared" si="31"/>
        <v>0</v>
      </c>
      <c r="H684">
        <f t="shared" si="30"/>
        <v>0</v>
      </c>
      <c r="I684" t="str">
        <f>_xlfn.XLOOKUP(A684,'[1]Forecast 2026'!$A:$A,'[1]Forecast 2026'!$AJ:$AJ,"NA",0,1)</f>
        <v>NA</v>
      </c>
      <c r="J684" t="str">
        <f t="shared" si="32"/>
        <v/>
      </c>
    </row>
    <row r="685" spans="1:10" hidden="1" x14ac:dyDescent="0.35">
      <c r="A685" t="s">
        <v>1388</v>
      </c>
      <c r="B685" t="s">
        <v>1389</v>
      </c>
      <c r="C685" t="s">
        <v>868</v>
      </c>
      <c r="D685" t="s">
        <v>869</v>
      </c>
      <c r="E685">
        <v>0</v>
      </c>
      <c r="F685">
        <v>0</v>
      </c>
      <c r="G685">
        <f t="shared" si="31"/>
        <v>0</v>
      </c>
      <c r="H685">
        <f t="shared" si="30"/>
        <v>0</v>
      </c>
      <c r="I685" t="str">
        <f>_xlfn.XLOOKUP(A685,'[1]Forecast 2026'!$A:$A,'[1]Forecast 2026'!$AJ:$AJ,"NA",0,1)</f>
        <v>NA</v>
      </c>
      <c r="J685" t="str">
        <f t="shared" si="32"/>
        <v/>
      </c>
    </row>
    <row r="686" spans="1:10" hidden="1" x14ac:dyDescent="0.35">
      <c r="A686" t="s">
        <v>1390</v>
      </c>
      <c r="B686" t="s">
        <v>1391</v>
      </c>
      <c r="C686" t="s">
        <v>868</v>
      </c>
      <c r="D686" t="s">
        <v>869</v>
      </c>
      <c r="E686">
        <v>0</v>
      </c>
      <c r="F686">
        <v>0</v>
      </c>
      <c r="G686">
        <f t="shared" si="31"/>
        <v>0</v>
      </c>
      <c r="H686">
        <f t="shared" si="30"/>
        <v>0</v>
      </c>
      <c r="I686" t="str">
        <f>_xlfn.XLOOKUP(A686,'[1]Forecast 2026'!$A:$A,'[1]Forecast 2026'!$AJ:$AJ,"NA",0,1)</f>
        <v>NA</v>
      </c>
      <c r="J686" t="str">
        <f t="shared" si="32"/>
        <v/>
      </c>
    </row>
    <row r="687" spans="1:10" hidden="1" x14ac:dyDescent="0.35">
      <c r="A687" t="s">
        <v>1392</v>
      </c>
      <c r="B687" t="s">
        <v>1393</v>
      </c>
      <c r="C687" t="s">
        <v>868</v>
      </c>
      <c r="D687" t="s">
        <v>869</v>
      </c>
      <c r="E687">
        <v>0</v>
      </c>
      <c r="F687">
        <v>0</v>
      </c>
      <c r="G687">
        <f t="shared" si="31"/>
        <v>0</v>
      </c>
      <c r="H687">
        <f t="shared" si="30"/>
        <v>0</v>
      </c>
      <c r="I687" t="str">
        <f>_xlfn.XLOOKUP(A687,'[1]Forecast 2026'!$A:$A,'[1]Forecast 2026'!$AJ:$AJ,"NA",0,1)</f>
        <v>NA</v>
      </c>
      <c r="J687" t="str">
        <f t="shared" si="32"/>
        <v/>
      </c>
    </row>
    <row r="688" spans="1:10" hidden="1" x14ac:dyDescent="0.35">
      <c r="A688" t="s">
        <v>1394</v>
      </c>
      <c r="B688" t="s">
        <v>1395</v>
      </c>
      <c r="C688" t="s">
        <v>868</v>
      </c>
      <c r="D688" t="s">
        <v>869</v>
      </c>
      <c r="E688">
        <v>0</v>
      </c>
      <c r="F688">
        <v>0</v>
      </c>
      <c r="G688">
        <f t="shared" si="31"/>
        <v>0</v>
      </c>
      <c r="H688">
        <f t="shared" si="30"/>
        <v>0</v>
      </c>
      <c r="I688" t="str">
        <f>_xlfn.XLOOKUP(A688,'[1]Forecast 2026'!$A:$A,'[1]Forecast 2026'!$AJ:$AJ,"NA",0,1)</f>
        <v>NA</v>
      </c>
      <c r="J688" t="str">
        <f t="shared" si="32"/>
        <v/>
      </c>
    </row>
    <row r="689" spans="1:10" hidden="1" x14ac:dyDescent="0.35">
      <c r="A689" t="s">
        <v>1396</v>
      </c>
      <c r="B689" t="s">
        <v>1397</v>
      </c>
      <c r="C689" t="s">
        <v>868</v>
      </c>
      <c r="D689" t="s">
        <v>869</v>
      </c>
      <c r="E689">
        <v>0</v>
      </c>
      <c r="F689">
        <v>0</v>
      </c>
      <c r="G689">
        <f t="shared" si="31"/>
        <v>0</v>
      </c>
      <c r="H689">
        <f t="shared" si="30"/>
        <v>0</v>
      </c>
      <c r="I689" t="str">
        <f>_xlfn.XLOOKUP(A689,'[1]Forecast 2026'!$A:$A,'[1]Forecast 2026'!$AJ:$AJ,"NA",0,1)</f>
        <v>NA</v>
      </c>
      <c r="J689" t="str">
        <f t="shared" si="32"/>
        <v/>
      </c>
    </row>
    <row r="690" spans="1:10" hidden="1" x14ac:dyDescent="0.35">
      <c r="A690" t="s">
        <v>1398</v>
      </c>
      <c r="B690" t="s">
        <v>1399</v>
      </c>
      <c r="C690" t="s">
        <v>868</v>
      </c>
      <c r="D690" t="s">
        <v>869</v>
      </c>
      <c r="E690">
        <v>0</v>
      </c>
      <c r="F690">
        <v>0</v>
      </c>
      <c r="G690">
        <f t="shared" si="31"/>
        <v>0</v>
      </c>
      <c r="H690">
        <f t="shared" si="30"/>
        <v>0</v>
      </c>
      <c r="I690" t="str">
        <f>_xlfn.XLOOKUP(A690,'[1]Forecast 2026'!$A:$A,'[1]Forecast 2026'!$AJ:$AJ,"NA",0,1)</f>
        <v>NA</v>
      </c>
      <c r="J690" t="str">
        <f t="shared" si="32"/>
        <v/>
      </c>
    </row>
    <row r="691" spans="1:10" hidden="1" x14ac:dyDescent="0.35">
      <c r="A691" t="s">
        <v>1400</v>
      </c>
      <c r="B691" t="s">
        <v>1401</v>
      </c>
      <c r="C691" t="s">
        <v>868</v>
      </c>
      <c r="D691" t="s">
        <v>869</v>
      </c>
      <c r="E691">
        <v>0</v>
      </c>
      <c r="F691">
        <v>0</v>
      </c>
      <c r="G691">
        <f t="shared" si="31"/>
        <v>0</v>
      </c>
      <c r="H691">
        <f t="shared" si="30"/>
        <v>0</v>
      </c>
      <c r="I691" t="str">
        <f>_xlfn.XLOOKUP(A691,'[1]Forecast 2026'!$A:$A,'[1]Forecast 2026'!$AJ:$AJ,"NA",0,1)</f>
        <v>NA</v>
      </c>
      <c r="J691" t="str">
        <f t="shared" si="32"/>
        <v/>
      </c>
    </row>
    <row r="692" spans="1:10" hidden="1" x14ac:dyDescent="0.35">
      <c r="A692" t="s">
        <v>1402</v>
      </c>
      <c r="B692" t="s">
        <v>1403</v>
      </c>
      <c r="C692" t="s">
        <v>868</v>
      </c>
      <c r="D692" t="s">
        <v>869</v>
      </c>
      <c r="E692">
        <v>0</v>
      </c>
      <c r="F692">
        <v>0</v>
      </c>
      <c r="G692">
        <f t="shared" si="31"/>
        <v>0</v>
      </c>
      <c r="H692">
        <f t="shared" si="30"/>
        <v>0</v>
      </c>
      <c r="I692" t="str">
        <f>_xlfn.XLOOKUP(A692,'[1]Forecast 2026'!$A:$A,'[1]Forecast 2026'!$AJ:$AJ,"NA",0,1)</f>
        <v>NA</v>
      </c>
      <c r="J692" t="str">
        <f t="shared" si="32"/>
        <v/>
      </c>
    </row>
    <row r="693" spans="1:10" hidden="1" x14ac:dyDescent="0.35">
      <c r="A693" t="s">
        <v>1404</v>
      </c>
      <c r="B693" t="s">
        <v>1405</v>
      </c>
      <c r="C693" t="s">
        <v>868</v>
      </c>
      <c r="D693" t="s">
        <v>869</v>
      </c>
      <c r="E693">
        <v>0</v>
      </c>
      <c r="F693">
        <v>0</v>
      </c>
      <c r="G693">
        <f t="shared" si="31"/>
        <v>0</v>
      </c>
      <c r="H693">
        <f t="shared" si="30"/>
        <v>0</v>
      </c>
      <c r="I693" t="str">
        <f>_xlfn.XLOOKUP(A693,'[1]Forecast 2026'!$A:$A,'[1]Forecast 2026'!$AJ:$AJ,"NA",0,1)</f>
        <v>NA</v>
      </c>
      <c r="J693" t="str">
        <f t="shared" si="32"/>
        <v/>
      </c>
    </row>
    <row r="694" spans="1:10" hidden="1" x14ac:dyDescent="0.35">
      <c r="A694" t="s">
        <v>1406</v>
      </c>
      <c r="B694" t="s">
        <v>1407</v>
      </c>
      <c r="C694" t="s">
        <v>868</v>
      </c>
      <c r="D694" t="s">
        <v>869</v>
      </c>
      <c r="E694">
        <v>0</v>
      </c>
      <c r="F694">
        <v>0</v>
      </c>
      <c r="G694">
        <f t="shared" si="31"/>
        <v>0</v>
      </c>
      <c r="H694">
        <f t="shared" si="30"/>
        <v>0</v>
      </c>
      <c r="I694" t="str">
        <f>_xlfn.XLOOKUP(A694,'[1]Forecast 2026'!$A:$A,'[1]Forecast 2026'!$AJ:$AJ,"NA",0,1)</f>
        <v>NA</v>
      </c>
      <c r="J694" t="str">
        <f t="shared" si="32"/>
        <v/>
      </c>
    </row>
    <row r="695" spans="1:10" hidden="1" x14ac:dyDescent="0.35">
      <c r="A695" t="s">
        <v>1408</v>
      </c>
      <c r="B695" t="s">
        <v>1409</v>
      </c>
      <c r="C695" t="s">
        <v>868</v>
      </c>
      <c r="D695" t="s">
        <v>869</v>
      </c>
      <c r="E695">
        <v>0</v>
      </c>
      <c r="F695">
        <v>0</v>
      </c>
      <c r="G695">
        <f t="shared" si="31"/>
        <v>0</v>
      </c>
      <c r="H695">
        <f t="shared" si="30"/>
        <v>0</v>
      </c>
      <c r="I695" t="str">
        <f>_xlfn.XLOOKUP(A695,'[1]Forecast 2026'!$A:$A,'[1]Forecast 2026'!$AJ:$AJ,"NA",0,1)</f>
        <v>NA</v>
      </c>
      <c r="J695" t="str">
        <f t="shared" si="32"/>
        <v/>
      </c>
    </row>
    <row r="696" spans="1:10" hidden="1" x14ac:dyDescent="0.35">
      <c r="A696" t="s">
        <v>1410</v>
      </c>
      <c r="B696" t="s">
        <v>1411</v>
      </c>
      <c r="C696" t="s">
        <v>868</v>
      </c>
      <c r="D696" t="s">
        <v>869</v>
      </c>
      <c r="E696">
        <v>0</v>
      </c>
      <c r="F696">
        <v>0</v>
      </c>
      <c r="G696">
        <f t="shared" si="31"/>
        <v>0</v>
      </c>
      <c r="H696">
        <f t="shared" si="30"/>
        <v>0</v>
      </c>
      <c r="I696" t="str">
        <f>_xlfn.XLOOKUP(A696,'[1]Forecast 2026'!$A:$A,'[1]Forecast 2026'!$AJ:$AJ,"NA",0,1)</f>
        <v>NA</v>
      </c>
      <c r="J696" t="str">
        <f t="shared" si="32"/>
        <v/>
      </c>
    </row>
    <row r="697" spans="1:10" hidden="1" x14ac:dyDescent="0.35">
      <c r="A697" t="s">
        <v>1412</v>
      </c>
      <c r="B697" t="s">
        <v>1413</v>
      </c>
      <c r="C697" t="s">
        <v>868</v>
      </c>
      <c r="D697" t="s">
        <v>869</v>
      </c>
      <c r="E697">
        <v>0</v>
      </c>
      <c r="F697">
        <v>0</v>
      </c>
      <c r="G697">
        <f t="shared" si="31"/>
        <v>0</v>
      </c>
      <c r="H697">
        <f t="shared" si="30"/>
        <v>0</v>
      </c>
      <c r="I697" t="str">
        <f>_xlfn.XLOOKUP(A697,'[1]Forecast 2026'!$A:$A,'[1]Forecast 2026'!$AJ:$AJ,"NA",0,1)</f>
        <v>NA</v>
      </c>
      <c r="J697" t="str">
        <f t="shared" si="32"/>
        <v/>
      </c>
    </row>
    <row r="698" spans="1:10" hidden="1" x14ac:dyDescent="0.35">
      <c r="A698" t="s">
        <v>1414</v>
      </c>
      <c r="B698" t="s">
        <v>1415</v>
      </c>
      <c r="C698" t="s">
        <v>868</v>
      </c>
      <c r="D698" t="s">
        <v>869</v>
      </c>
      <c r="E698">
        <v>0</v>
      </c>
      <c r="F698">
        <v>0</v>
      </c>
      <c r="G698">
        <f t="shared" si="31"/>
        <v>0</v>
      </c>
      <c r="H698">
        <f t="shared" si="30"/>
        <v>0</v>
      </c>
      <c r="I698" t="str">
        <f>_xlfn.XLOOKUP(A698,'[1]Forecast 2026'!$A:$A,'[1]Forecast 2026'!$AJ:$AJ,"NA",0,1)</f>
        <v>NA</v>
      </c>
      <c r="J698" t="str">
        <f t="shared" si="32"/>
        <v/>
      </c>
    </row>
    <row r="699" spans="1:10" hidden="1" x14ac:dyDescent="0.35">
      <c r="A699" t="s">
        <v>1416</v>
      </c>
      <c r="B699" t="s">
        <v>1417</v>
      </c>
      <c r="C699" t="s">
        <v>868</v>
      </c>
      <c r="D699" t="s">
        <v>869</v>
      </c>
      <c r="E699">
        <v>0</v>
      </c>
      <c r="F699">
        <v>0</v>
      </c>
      <c r="G699">
        <f t="shared" si="31"/>
        <v>0</v>
      </c>
      <c r="H699">
        <f t="shared" si="30"/>
        <v>0</v>
      </c>
      <c r="I699" t="str">
        <f>_xlfn.XLOOKUP(A699,'[1]Forecast 2026'!$A:$A,'[1]Forecast 2026'!$AJ:$AJ,"NA",0,1)</f>
        <v>NA</v>
      </c>
      <c r="J699" t="str">
        <f t="shared" si="32"/>
        <v/>
      </c>
    </row>
    <row r="700" spans="1:10" hidden="1" x14ac:dyDescent="0.35">
      <c r="A700" t="s">
        <v>1418</v>
      </c>
      <c r="B700" t="s">
        <v>1419</v>
      </c>
      <c r="C700" t="s">
        <v>868</v>
      </c>
      <c r="D700" t="s">
        <v>869</v>
      </c>
      <c r="E700">
        <v>0</v>
      </c>
      <c r="F700">
        <v>0</v>
      </c>
      <c r="G700">
        <f t="shared" si="31"/>
        <v>0</v>
      </c>
      <c r="H700">
        <f t="shared" si="30"/>
        <v>0</v>
      </c>
      <c r="I700" t="str">
        <f>_xlfn.XLOOKUP(A700,'[1]Forecast 2026'!$A:$A,'[1]Forecast 2026'!$AJ:$AJ,"NA",0,1)</f>
        <v>NA</v>
      </c>
      <c r="J700" t="str">
        <f t="shared" si="32"/>
        <v/>
      </c>
    </row>
    <row r="701" spans="1:10" hidden="1" x14ac:dyDescent="0.35">
      <c r="A701" t="s">
        <v>1420</v>
      </c>
      <c r="B701" t="s">
        <v>1421</v>
      </c>
      <c r="C701" t="s">
        <v>868</v>
      </c>
      <c r="D701" t="s">
        <v>869</v>
      </c>
      <c r="E701">
        <v>0</v>
      </c>
      <c r="F701">
        <v>0</v>
      </c>
      <c r="G701">
        <f t="shared" si="31"/>
        <v>0</v>
      </c>
      <c r="H701">
        <f t="shared" si="30"/>
        <v>0</v>
      </c>
      <c r="I701" t="str">
        <f>_xlfn.XLOOKUP(A701,'[1]Forecast 2026'!$A:$A,'[1]Forecast 2026'!$AJ:$AJ,"NA",0,1)</f>
        <v>NA</v>
      </c>
      <c r="J701" t="str">
        <f t="shared" si="32"/>
        <v/>
      </c>
    </row>
    <row r="702" spans="1:10" hidden="1" x14ac:dyDescent="0.35">
      <c r="A702" t="s">
        <v>1422</v>
      </c>
      <c r="B702" t="s">
        <v>1423</v>
      </c>
      <c r="C702" t="s">
        <v>868</v>
      </c>
      <c r="D702" t="s">
        <v>869</v>
      </c>
      <c r="E702">
        <v>0</v>
      </c>
      <c r="F702">
        <v>0</v>
      </c>
      <c r="G702">
        <f t="shared" si="31"/>
        <v>0</v>
      </c>
      <c r="H702">
        <f t="shared" si="30"/>
        <v>0</v>
      </c>
      <c r="I702" t="str">
        <f>_xlfn.XLOOKUP(A702,'[1]Forecast 2026'!$A:$A,'[1]Forecast 2026'!$AJ:$AJ,"NA",0,1)</f>
        <v>NA</v>
      </c>
      <c r="J702" t="str">
        <f t="shared" si="32"/>
        <v/>
      </c>
    </row>
    <row r="703" spans="1:10" hidden="1" x14ac:dyDescent="0.35">
      <c r="A703" t="s">
        <v>1424</v>
      </c>
      <c r="B703" t="s">
        <v>1425</v>
      </c>
      <c r="C703" t="s">
        <v>868</v>
      </c>
      <c r="D703" t="s">
        <v>869</v>
      </c>
      <c r="E703">
        <v>0</v>
      </c>
      <c r="F703">
        <v>0</v>
      </c>
      <c r="G703">
        <f t="shared" si="31"/>
        <v>0</v>
      </c>
      <c r="H703">
        <f t="shared" si="30"/>
        <v>0</v>
      </c>
      <c r="I703" t="str">
        <f>_xlfn.XLOOKUP(A703,'[1]Forecast 2026'!$A:$A,'[1]Forecast 2026'!$AJ:$AJ,"NA",0,1)</f>
        <v>NA</v>
      </c>
      <c r="J703" t="str">
        <f t="shared" si="32"/>
        <v/>
      </c>
    </row>
    <row r="704" spans="1:10" hidden="1" x14ac:dyDescent="0.35">
      <c r="A704" t="s">
        <v>1426</v>
      </c>
      <c r="B704" t="s">
        <v>1427</v>
      </c>
      <c r="C704" t="s">
        <v>868</v>
      </c>
      <c r="D704" t="s">
        <v>869</v>
      </c>
      <c r="E704">
        <v>0</v>
      </c>
      <c r="F704">
        <v>0</v>
      </c>
      <c r="G704">
        <f t="shared" si="31"/>
        <v>0</v>
      </c>
      <c r="H704">
        <f t="shared" si="30"/>
        <v>0</v>
      </c>
      <c r="I704" t="str">
        <f>_xlfn.XLOOKUP(A704,'[1]Forecast 2026'!$A:$A,'[1]Forecast 2026'!$AJ:$AJ,"NA",0,1)</f>
        <v>NA</v>
      </c>
      <c r="J704" t="str">
        <f t="shared" si="32"/>
        <v/>
      </c>
    </row>
    <row r="705" spans="1:10" hidden="1" x14ac:dyDescent="0.35">
      <c r="A705" t="s">
        <v>1428</v>
      </c>
      <c r="B705" t="s">
        <v>1429</v>
      </c>
      <c r="C705" t="s">
        <v>868</v>
      </c>
      <c r="D705" t="s">
        <v>869</v>
      </c>
      <c r="E705">
        <v>0</v>
      </c>
      <c r="F705">
        <v>0</v>
      </c>
      <c r="G705">
        <f t="shared" si="31"/>
        <v>0</v>
      </c>
      <c r="H705">
        <f t="shared" si="30"/>
        <v>0</v>
      </c>
      <c r="I705" t="str">
        <f>_xlfn.XLOOKUP(A705,'[1]Forecast 2026'!$A:$A,'[1]Forecast 2026'!$AJ:$AJ,"NA",0,1)</f>
        <v>NA</v>
      </c>
      <c r="J705" t="str">
        <f t="shared" si="32"/>
        <v/>
      </c>
    </row>
    <row r="706" spans="1:10" hidden="1" x14ac:dyDescent="0.35">
      <c r="A706" t="s">
        <v>1430</v>
      </c>
      <c r="B706" t="s">
        <v>1431</v>
      </c>
      <c r="C706" t="s">
        <v>868</v>
      </c>
      <c r="D706" t="s">
        <v>869</v>
      </c>
      <c r="E706">
        <v>0</v>
      </c>
      <c r="F706">
        <v>0</v>
      </c>
      <c r="G706">
        <f t="shared" si="31"/>
        <v>0</v>
      </c>
      <c r="H706">
        <f t="shared" si="30"/>
        <v>0</v>
      </c>
      <c r="I706" t="str">
        <f>_xlfn.XLOOKUP(A706,'[1]Forecast 2026'!$A:$A,'[1]Forecast 2026'!$AJ:$AJ,"NA",0,1)</f>
        <v>NA</v>
      </c>
      <c r="J706" t="str">
        <f t="shared" si="32"/>
        <v/>
      </c>
    </row>
    <row r="707" spans="1:10" hidden="1" x14ac:dyDescent="0.35">
      <c r="A707" t="s">
        <v>1432</v>
      </c>
      <c r="B707" t="s">
        <v>1433</v>
      </c>
      <c r="C707" t="s">
        <v>868</v>
      </c>
      <c r="D707" t="s">
        <v>869</v>
      </c>
      <c r="E707">
        <v>0</v>
      </c>
      <c r="F707">
        <v>0</v>
      </c>
      <c r="G707">
        <f t="shared" si="31"/>
        <v>0</v>
      </c>
      <c r="H707">
        <f t="shared" ref="H707:H770" si="33">E707-G707</f>
        <v>0</v>
      </c>
      <c r="I707" t="str">
        <f>_xlfn.XLOOKUP(A707,'[1]Forecast 2026'!$A:$A,'[1]Forecast 2026'!$AJ:$AJ,"NA",0,1)</f>
        <v>NA</v>
      </c>
      <c r="J707" t="str">
        <f t="shared" si="32"/>
        <v/>
      </c>
    </row>
    <row r="708" spans="1:10" hidden="1" x14ac:dyDescent="0.35">
      <c r="A708" t="s">
        <v>1434</v>
      </c>
      <c r="B708" t="s">
        <v>1435</v>
      </c>
      <c r="C708" t="s">
        <v>868</v>
      </c>
      <c r="D708" t="s">
        <v>869</v>
      </c>
      <c r="E708">
        <v>0</v>
      </c>
      <c r="F708">
        <v>0</v>
      </c>
      <c r="G708">
        <f t="shared" ref="G708:G771" si="34">F708*E708</f>
        <v>0</v>
      </c>
      <c r="H708">
        <f t="shared" si="33"/>
        <v>0</v>
      </c>
      <c r="I708" t="str">
        <f>_xlfn.XLOOKUP(A708,'[1]Forecast 2026'!$A:$A,'[1]Forecast 2026'!$AJ:$AJ,"NA",0,1)</f>
        <v>NA</v>
      </c>
      <c r="J708" t="str">
        <f t="shared" ref="J708:J771" si="35">IFERROR(E708-I708,"")</f>
        <v/>
      </c>
    </row>
    <row r="709" spans="1:10" hidden="1" x14ac:dyDescent="0.35">
      <c r="A709" t="s">
        <v>1436</v>
      </c>
      <c r="B709" t="s">
        <v>1437</v>
      </c>
      <c r="C709" t="s">
        <v>868</v>
      </c>
      <c r="D709" t="s">
        <v>869</v>
      </c>
      <c r="E709">
        <v>0</v>
      </c>
      <c r="F709">
        <v>0</v>
      </c>
      <c r="G709">
        <f t="shared" si="34"/>
        <v>0</v>
      </c>
      <c r="H709">
        <f t="shared" si="33"/>
        <v>0</v>
      </c>
      <c r="I709" t="str">
        <f>_xlfn.XLOOKUP(A709,'[1]Forecast 2026'!$A:$A,'[1]Forecast 2026'!$AJ:$AJ,"NA",0,1)</f>
        <v>NA</v>
      </c>
      <c r="J709" t="str">
        <f t="shared" si="35"/>
        <v/>
      </c>
    </row>
    <row r="710" spans="1:10" hidden="1" x14ac:dyDescent="0.35">
      <c r="A710" t="s">
        <v>1438</v>
      </c>
      <c r="B710" t="s">
        <v>1439</v>
      </c>
      <c r="C710" t="s">
        <v>868</v>
      </c>
      <c r="D710" t="s">
        <v>869</v>
      </c>
      <c r="E710">
        <v>0</v>
      </c>
      <c r="F710">
        <v>0</v>
      </c>
      <c r="G710">
        <f t="shared" si="34"/>
        <v>0</v>
      </c>
      <c r="H710">
        <f t="shared" si="33"/>
        <v>0</v>
      </c>
      <c r="I710" t="str">
        <f>_xlfn.XLOOKUP(A710,'[1]Forecast 2026'!$A:$A,'[1]Forecast 2026'!$AJ:$AJ,"NA",0,1)</f>
        <v>NA</v>
      </c>
      <c r="J710" t="str">
        <f t="shared" si="35"/>
        <v/>
      </c>
    </row>
    <row r="711" spans="1:10" hidden="1" x14ac:dyDescent="0.35">
      <c r="A711" t="s">
        <v>1440</v>
      </c>
      <c r="B711" t="s">
        <v>1441</v>
      </c>
      <c r="C711" t="s">
        <v>868</v>
      </c>
      <c r="D711" t="s">
        <v>869</v>
      </c>
      <c r="E711">
        <v>0</v>
      </c>
      <c r="F711">
        <v>0</v>
      </c>
      <c r="G711">
        <f t="shared" si="34"/>
        <v>0</v>
      </c>
      <c r="H711">
        <f t="shared" si="33"/>
        <v>0</v>
      </c>
      <c r="I711" t="str">
        <f>_xlfn.XLOOKUP(A711,'[1]Forecast 2026'!$A:$A,'[1]Forecast 2026'!$AJ:$AJ,"NA",0,1)</f>
        <v>NA</v>
      </c>
      <c r="J711" t="str">
        <f t="shared" si="35"/>
        <v/>
      </c>
    </row>
    <row r="712" spans="1:10" hidden="1" x14ac:dyDescent="0.35">
      <c r="A712" t="s">
        <v>1442</v>
      </c>
      <c r="B712" t="s">
        <v>1443</v>
      </c>
      <c r="C712" t="s">
        <v>868</v>
      </c>
      <c r="D712" t="s">
        <v>869</v>
      </c>
      <c r="E712">
        <v>0</v>
      </c>
      <c r="F712">
        <v>0</v>
      </c>
      <c r="G712">
        <f t="shared" si="34"/>
        <v>0</v>
      </c>
      <c r="H712">
        <f t="shared" si="33"/>
        <v>0</v>
      </c>
      <c r="I712" t="str">
        <f>_xlfn.XLOOKUP(A712,'[1]Forecast 2026'!$A:$A,'[1]Forecast 2026'!$AJ:$AJ,"NA",0,1)</f>
        <v>NA</v>
      </c>
      <c r="J712" t="str">
        <f t="shared" si="35"/>
        <v/>
      </c>
    </row>
    <row r="713" spans="1:10" hidden="1" x14ac:dyDescent="0.35">
      <c r="A713" t="s">
        <v>1444</v>
      </c>
      <c r="B713" t="s">
        <v>1445</v>
      </c>
      <c r="C713" t="s">
        <v>868</v>
      </c>
      <c r="D713" t="s">
        <v>869</v>
      </c>
      <c r="E713">
        <v>0</v>
      </c>
      <c r="F713">
        <v>0</v>
      </c>
      <c r="G713">
        <f t="shared" si="34"/>
        <v>0</v>
      </c>
      <c r="H713">
        <f t="shared" si="33"/>
        <v>0</v>
      </c>
      <c r="I713" t="str">
        <f>_xlfn.XLOOKUP(A713,'[1]Forecast 2026'!$A:$A,'[1]Forecast 2026'!$AJ:$AJ,"NA",0,1)</f>
        <v>NA</v>
      </c>
      <c r="J713" t="str">
        <f t="shared" si="35"/>
        <v/>
      </c>
    </row>
    <row r="714" spans="1:10" hidden="1" x14ac:dyDescent="0.35">
      <c r="A714" t="s">
        <v>1446</v>
      </c>
      <c r="B714" t="s">
        <v>1447</v>
      </c>
      <c r="C714" t="s">
        <v>868</v>
      </c>
      <c r="D714" t="s">
        <v>869</v>
      </c>
      <c r="E714">
        <v>0</v>
      </c>
      <c r="F714">
        <v>0</v>
      </c>
      <c r="G714">
        <f t="shared" si="34"/>
        <v>0</v>
      </c>
      <c r="H714">
        <f t="shared" si="33"/>
        <v>0</v>
      </c>
      <c r="I714" t="str">
        <f>_xlfn.XLOOKUP(A714,'[1]Forecast 2026'!$A:$A,'[1]Forecast 2026'!$AJ:$AJ,"NA",0,1)</f>
        <v>NA</v>
      </c>
      <c r="J714" t="str">
        <f t="shared" si="35"/>
        <v/>
      </c>
    </row>
    <row r="715" spans="1:10" hidden="1" x14ac:dyDescent="0.35">
      <c r="A715" t="s">
        <v>1448</v>
      </c>
      <c r="B715" t="s">
        <v>1449</v>
      </c>
      <c r="C715" t="s">
        <v>868</v>
      </c>
      <c r="D715" t="s">
        <v>869</v>
      </c>
      <c r="E715">
        <v>0</v>
      </c>
      <c r="F715">
        <v>0</v>
      </c>
      <c r="G715">
        <f t="shared" si="34"/>
        <v>0</v>
      </c>
      <c r="H715">
        <f t="shared" si="33"/>
        <v>0</v>
      </c>
      <c r="I715" t="str">
        <f>_xlfn.XLOOKUP(A715,'[1]Forecast 2026'!$A:$A,'[1]Forecast 2026'!$AJ:$AJ,"NA",0,1)</f>
        <v>NA</v>
      </c>
      <c r="J715" t="str">
        <f t="shared" si="35"/>
        <v/>
      </c>
    </row>
    <row r="716" spans="1:10" hidden="1" x14ac:dyDescent="0.35">
      <c r="A716" t="s">
        <v>1450</v>
      </c>
      <c r="B716" t="s">
        <v>1451</v>
      </c>
      <c r="C716" t="s">
        <v>868</v>
      </c>
      <c r="D716" t="s">
        <v>869</v>
      </c>
      <c r="E716">
        <v>0</v>
      </c>
      <c r="F716">
        <v>0</v>
      </c>
      <c r="G716">
        <f t="shared" si="34"/>
        <v>0</v>
      </c>
      <c r="H716">
        <f t="shared" si="33"/>
        <v>0</v>
      </c>
      <c r="I716" t="str">
        <f>_xlfn.XLOOKUP(A716,'[1]Forecast 2026'!$A:$A,'[1]Forecast 2026'!$AJ:$AJ,"NA",0,1)</f>
        <v>NA</v>
      </c>
      <c r="J716" t="str">
        <f t="shared" si="35"/>
        <v/>
      </c>
    </row>
    <row r="717" spans="1:10" hidden="1" x14ac:dyDescent="0.35">
      <c r="A717" t="s">
        <v>1452</v>
      </c>
      <c r="B717" t="s">
        <v>1453</v>
      </c>
      <c r="C717" t="s">
        <v>868</v>
      </c>
      <c r="D717" t="s">
        <v>869</v>
      </c>
      <c r="E717">
        <v>0</v>
      </c>
      <c r="F717">
        <v>0</v>
      </c>
      <c r="G717">
        <f t="shared" si="34"/>
        <v>0</v>
      </c>
      <c r="H717">
        <f t="shared" si="33"/>
        <v>0</v>
      </c>
      <c r="I717" t="str">
        <f>_xlfn.XLOOKUP(A717,'[1]Forecast 2026'!$A:$A,'[1]Forecast 2026'!$AJ:$AJ,"NA",0,1)</f>
        <v>NA</v>
      </c>
      <c r="J717" t="str">
        <f t="shared" si="35"/>
        <v/>
      </c>
    </row>
    <row r="718" spans="1:10" hidden="1" x14ac:dyDescent="0.35">
      <c r="A718" t="s">
        <v>1454</v>
      </c>
      <c r="B718" t="s">
        <v>1455</v>
      </c>
      <c r="C718" t="s">
        <v>868</v>
      </c>
      <c r="D718" t="s">
        <v>869</v>
      </c>
      <c r="E718">
        <v>0</v>
      </c>
      <c r="F718">
        <v>0</v>
      </c>
      <c r="G718">
        <f t="shared" si="34"/>
        <v>0</v>
      </c>
      <c r="H718">
        <f t="shared" si="33"/>
        <v>0</v>
      </c>
      <c r="I718" t="str">
        <f>_xlfn.XLOOKUP(A718,'[1]Forecast 2026'!$A:$A,'[1]Forecast 2026'!$AJ:$AJ,"NA",0,1)</f>
        <v>NA</v>
      </c>
      <c r="J718" t="str">
        <f t="shared" si="35"/>
        <v/>
      </c>
    </row>
    <row r="719" spans="1:10" hidden="1" x14ac:dyDescent="0.35">
      <c r="A719" t="s">
        <v>1456</v>
      </c>
      <c r="B719" t="s">
        <v>1457</v>
      </c>
      <c r="C719" t="s">
        <v>868</v>
      </c>
      <c r="D719" t="s">
        <v>869</v>
      </c>
      <c r="E719">
        <v>0</v>
      </c>
      <c r="F719">
        <v>0</v>
      </c>
      <c r="G719">
        <f t="shared" si="34"/>
        <v>0</v>
      </c>
      <c r="H719">
        <f t="shared" si="33"/>
        <v>0</v>
      </c>
      <c r="I719" t="str">
        <f>_xlfn.XLOOKUP(A719,'[1]Forecast 2026'!$A:$A,'[1]Forecast 2026'!$AJ:$AJ,"NA",0,1)</f>
        <v>NA</v>
      </c>
      <c r="J719" t="str">
        <f t="shared" si="35"/>
        <v/>
      </c>
    </row>
    <row r="720" spans="1:10" hidden="1" x14ac:dyDescent="0.35">
      <c r="A720" t="s">
        <v>1458</v>
      </c>
      <c r="B720" t="s">
        <v>1459</v>
      </c>
      <c r="C720" t="s">
        <v>868</v>
      </c>
      <c r="D720" t="s">
        <v>869</v>
      </c>
      <c r="E720">
        <v>0</v>
      </c>
      <c r="F720">
        <v>0</v>
      </c>
      <c r="G720">
        <f t="shared" si="34"/>
        <v>0</v>
      </c>
      <c r="H720">
        <f t="shared" si="33"/>
        <v>0</v>
      </c>
      <c r="I720" t="str">
        <f>_xlfn.XLOOKUP(A720,'[1]Forecast 2026'!$A:$A,'[1]Forecast 2026'!$AJ:$AJ,"NA",0,1)</f>
        <v>NA</v>
      </c>
      <c r="J720" t="str">
        <f t="shared" si="35"/>
        <v/>
      </c>
    </row>
    <row r="721" spans="1:10" hidden="1" x14ac:dyDescent="0.35">
      <c r="A721" t="s">
        <v>1460</v>
      </c>
      <c r="B721" t="s">
        <v>1461</v>
      </c>
      <c r="C721" t="s">
        <v>868</v>
      </c>
      <c r="D721" t="s">
        <v>869</v>
      </c>
      <c r="E721">
        <v>0</v>
      </c>
      <c r="F721">
        <v>0</v>
      </c>
      <c r="G721">
        <f t="shared" si="34"/>
        <v>0</v>
      </c>
      <c r="H721">
        <f t="shared" si="33"/>
        <v>0</v>
      </c>
      <c r="I721" t="str">
        <f>_xlfn.XLOOKUP(A721,'[1]Forecast 2026'!$A:$A,'[1]Forecast 2026'!$AJ:$AJ,"NA",0,1)</f>
        <v>NA</v>
      </c>
      <c r="J721" t="str">
        <f t="shared" si="35"/>
        <v/>
      </c>
    </row>
    <row r="722" spans="1:10" hidden="1" x14ac:dyDescent="0.35">
      <c r="A722" t="s">
        <v>1462</v>
      </c>
      <c r="B722" t="s">
        <v>1463</v>
      </c>
      <c r="C722" t="s">
        <v>868</v>
      </c>
      <c r="D722" t="s">
        <v>869</v>
      </c>
      <c r="E722">
        <v>0</v>
      </c>
      <c r="F722">
        <v>0</v>
      </c>
      <c r="G722">
        <f t="shared" si="34"/>
        <v>0</v>
      </c>
      <c r="H722">
        <f t="shared" si="33"/>
        <v>0</v>
      </c>
      <c r="I722" t="str">
        <f>_xlfn.XLOOKUP(A722,'[1]Forecast 2026'!$A:$A,'[1]Forecast 2026'!$AJ:$AJ,"NA",0,1)</f>
        <v>NA</v>
      </c>
      <c r="J722" t="str">
        <f t="shared" si="35"/>
        <v/>
      </c>
    </row>
    <row r="723" spans="1:10" hidden="1" x14ac:dyDescent="0.35">
      <c r="A723" t="s">
        <v>1464</v>
      </c>
      <c r="B723" t="s">
        <v>1465</v>
      </c>
      <c r="C723" t="s">
        <v>868</v>
      </c>
      <c r="D723" t="s">
        <v>869</v>
      </c>
      <c r="E723">
        <v>0</v>
      </c>
      <c r="F723">
        <v>0</v>
      </c>
      <c r="G723">
        <f t="shared" si="34"/>
        <v>0</v>
      </c>
      <c r="H723">
        <f t="shared" si="33"/>
        <v>0</v>
      </c>
      <c r="I723" t="str">
        <f>_xlfn.XLOOKUP(A723,'[1]Forecast 2026'!$A:$A,'[1]Forecast 2026'!$AJ:$AJ,"NA",0,1)</f>
        <v>NA</v>
      </c>
      <c r="J723" t="str">
        <f t="shared" si="35"/>
        <v/>
      </c>
    </row>
    <row r="724" spans="1:10" hidden="1" x14ac:dyDescent="0.35">
      <c r="A724" t="s">
        <v>1466</v>
      </c>
      <c r="B724" t="s">
        <v>1467</v>
      </c>
      <c r="C724" t="s">
        <v>868</v>
      </c>
      <c r="D724" t="s">
        <v>869</v>
      </c>
      <c r="E724">
        <v>0</v>
      </c>
      <c r="F724">
        <v>0</v>
      </c>
      <c r="G724">
        <f t="shared" si="34"/>
        <v>0</v>
      </c>
      <c r="H724">
        <f t="shared" si="33"/>
        <v>0</v>
      </c>
      <c r="I724" t="str">
        <f>_xlfn.XLOOKUP(A724,'[1]Forecast 2026'!$A:$A,'[1]Forecast 2026'!$AJ:$AJ,"NA",0,1)</f>
        <v>NA</v>
      </c>
      <c r="J724" t="str">
        <f t="shared" si="35"/>
        <v/>
      </c>
    </row>
    <row r="725" spans="1:10" hidden="1" x14ac:dyDescent="0.35">
      <c r="A725" t="s">
        <v>1468</v>
      </c>
      <c r="B725" t="s">
        <v>1469</v>
      </c>
      <c r="C725" t="s">
        <v>868</v>
      </c>
      <c r="D725" t="s">
        <v>869</v>
      </c>
      <c r="E725">
        <v>0</v>
      </c>
      <c r="F725">
        <v>0</v>
      </c>
      <c r="G725">
        <f t="shared" si="34"/>
        <v>0</v>
      </c>
      <c r="H725">
        <f t="shared" si="33"/>
        <v>0</v>
      </c>
      <c r="I725" t="str">
        <f>_xlfn.XLOOKUP(A725,'[1]Forecast 2026'!$A:$A,'[1]Forecast 2026'!$AJ:$AJ,"NA",0,1)</f>
        <v>NA</v>
      </c>
      <c r="J725" t="str">
        <f t="shared" si="35"/>
        <v/>
      </c>
    </row>
    <row r="726" spans="1:10" hidden="1" x14ac:dyDescent="0.35">
      <c r="A726" t="s">
        <v>1470</v>
      </c>
      <c r="B726" t="s">
        <v>1471</v>
      </c>
      <c r="C726" t="s">
        <v>868</v>
      </c>
      <c r="D726" t="s">
        <v>869</v>
      </c>
      <c r="E726">
        <v>0</v>
      </c>
      <c r="F726">
        <v>0</v>
      </c>
      <c r="G726">
        <f t="shared" si="34"/>
        <v>0</v>
      </c>
      <c r="H726">
        <f t="shared" si="33"/>
        <v>0</v>
      </c>
      <c r="I726" t="str">
        <f>_xlfn.XLOOKUP(A726,'[1]Forecast 2026'!$A:$A,'[1]Forecast 2026'!$AJ:$AJ,"NA",0,1)</f>
        <v>NA</v>
      </c>
      <c r="J726" t="str">
        <f t="shared" si="35"/>
        <v/>
      </c>
    </row>
    <row r="727" spans="1:10" hidden="1" x14ac:dyDescent="0.35">
      <c r="A727" t="s">
        <v>1472</v>
      </c>
      <c r="B727" t="s">
        <v>1473</v>
      </c>
      <c r="C727" t="s">
        <v>868</v>
      </c>
      <c r="D727" t="s">
        <v>869</v>
      </c>
      <c r="E727">
        <v>0</v>
      </c>
      <c r="F727">
        <v>0</v>
      </c>
      <c r="G727">
        <f t="shared" si="34"/>
        <v>0</v>
      </c>
      <c r="H727">
        <f t="shared" si="33"/>
        <v>0</v>
      </c>
      <c r="I727" t="str">
        <f>_xlfn.XLOOKUP(A727,'[1]Forecast 2026'!$A:$A,'[1]Forecast 2026'!$AJ:$AJ,"NA",0,1)</f>
        <v>NA</v>
      </c>
      <c r="J727" t="str">
        <f t="shared" si="35"/>
        <v/>
      </c>
    </row>
    <row r="728" spans="1:10" hidden="1" x14ac:dyDescent="0.35">
      <c r="A728" t="s">
        <v>1474</v>
      </c>
      <c r="B728" t="s">
        <v>1475</v>
      </c>
      <c r="C728" t="s">
        <v>868</v>
      </c>
      <c r="D728" t="s">
        <v>869</v>
      </c>
      <c r="E728">
        <v>0</v>
      </c>
      <c r="F728">
        <v>0</v>
      </c>
      <c r="G728">
        <f t="shared" si="34"/>
        <v>0</v>
      </c>
      <c r="H728">
        <f t="shared" si="33"/>
        <v>0</v>
      </c>
      <c r="I728" t="str">
        <f>_xlfn.XLOOKUP(A728,'[1]Forecast 2026'!$A:$A,'[1]Forecast 2026'!$AJ:$AJ,"NA",0,1)</f>
        <v>NA</v>
      </c>
      <c r="J728" t="str">
        <f t="shared" si="35"/>
        <v/>
      </c>
    </row>
    <row r="729" spans="1:10" hidden="1" x14ac:dyDescent="0.35">
      <c r="A729" t="s">
        <v>1476</v>
      </c>
      <c r="B729" t="s">
        <v>1477</v>
      </c>
      <c r="C729" t="s">
        <v>868</v>
      </c>
      <c r="D729" t="s">
        <v>869</v>
      </c>
      <c r="E729">
        <v>0</v>
      </c>
      <c r="F729">
        <v>0</v>
      </c>
      <c r="G729">
        <f t="shared" si="34"/>
        <v>0</v>
      </c>
      <c r="H729">
        <f t="shared" si="33"/>
        <v>0</v>
      </c>
      <c r="I729" t="str">
        <f>_xlfn.XLOOKUP(A729,'[1]Forecast 2026'!$A:$A,'[1]Forecast 2026'!$AJ:$AJ,"NA",0,1)</f>
        <v>NA</v>
      </c>
      <c r="J729" t="str">
        <f t="shared" si="35"/>
        <v/>
      </c>
    </row>
    <row r="730" spans="1:10" hidden="1" x14ac:dyDescent="0.35">
      <c r="A730" t="s">
        <v>1478</v>
      </c>
      <c r="B730" t="s">
        <v>1479</v>
      </c>
      <c r="C730" t="s">
        <v>868</v>
      </c>
      <c r="D730" t="s">
        <v>869</v>
      </c>
      <c r="E730">
        <v>0</v>
      </c>
      <c r="F730">
        <v>0</v>
      </c>
      <c r="G730">
        <f t="shared" si="34"/>
        <v>0</v>
      </c>
      <c r="H730">
        <f t="shared" si="33"/>
        <v>0</v>
      </c>
      <c r="I730" t="str">
        <f>_xlfn.XLOOKUP(A730,'[1]Forecast 2026'!$A:$A,'[1]Forecast 2026'!$AJ:$AJ,"NA",0,1)</f>
        <v>NA</v>
      </c>
      <c r="J730" t="str">
        <f t="shared" si="35"/>
        <v/>
      </c>
    </row>
    <row r="731" spans="1:10" hidden="1" x14ac:dyDescent="0.35">
      <c r="A731" t="s">
        <v>1480</v>
      </c>
      <c r="B731" t="s">
        <v>1481</v>
      </c>
      <c r="C731" t="s">
        <v>868</v>
      </c>
      <c r="D731" t="s">
        <v>869</v>
      </c>
      <c r="E731">
        <v>0</v>
      </c>
      <c r="F731">
        <v>0</v>
      </c>
      <c r="G731">
        <f t="shared" si="34"/>
        <v>0</v>
      </c>
      <c r="H731">
        <f t="shared" si="33"/>
        <v>0</v>
      </c>
      <c r="I731" t="str">
        <f>_xlfn.XLOOKUP(A731,'[1]Forecast 2026'!$A:$A,'[1]Forecast 2026'!$AJ:$AJ,"NA",0,1)</f>
        <v>NA</v>
      </c>
      <c r="J731" t="str">
        <f t="shared" si="35"/>
        <v/>
      </c>
    </row>
    <row r="732" spans="1:10" hidden="1" x14ac:dyDescent="0.35">
      <c r="A732" t="s">
        <v>1482</v>
      </c>
      <c r="B732" t="s">
        <v>1483</v>
      </c>
      <c r="C732" t="s">
        <v>868</v>
      </c>
      <c r="D732" t="s">
        <v>869</v>
      </c>
      <c r="E732">
        <v>0</v>
      </c>
      <c r="F732">
        <v>0</v>
      </c>
      <c r="G732">
        <f t="shared" si="34"/>
        <v>0</v>
      </c>
      <c r="H732">
        <f t="shared" si="33"/>
        <v>0</v>
      </c>
      <c r="I732" t="str">
        <f>_xlfn.XLOOKUP(A732,'[1]Forecast 2026'!$A:$A,'[1]Forecast 2026'!$AJ:$AJ,"NA",0,1)</f>
        <v>NA</v>
      </c>
      <c r="J732" t="str">
        <f t="shared" si="35"/>
        <v/>
      </c>
    </row>
    <row r="733" spans="1:10" hidden="1" x14ac:dyDescent="0.35">
      <c r="A733" t="s">
        <v>1484</v>
      </c>
      <c r="B733" t="s">
        <v>1485</v>
      </c>
      <c r="C733" t="s">
        <v>868</v>
      </c>
      <c r="D733" t="s">
        <v>869</v>
      </c>
      <c r="E733">
        <v>0</v>
      </c>
      <c r="F733">
        <v>0</v>
      </c>
      <c r="G733">
        <f t="shared" si="34"/>
        <v>0</v>
      </c>
      <c r="H733">
        <f t="shared" si="33"/>
        <v>0</v>
      </c>
      <c r="I733" t="str">
        <f>_xlfn.XLOOKUP(A733,'[1]Forecast 2026'!$A:$A,'[1]Forecast 2026'!$AJ:$AJ,"NA",0,1)</f>
        <v>NA</v>
      </c>
      <c r="J733" t="str">
        <f t="shared" si="35"/>
        <v/>
      </c>
    </row>
    <row r="734" spans="1:10" hidden="1" x14ac:dyDescent="0.35">
      <c r="A734" t="s">
        <v>1486</v>
      </c>
      <c r="B734" t="s">
        <v>1487</v>
      </c>
      <c r="C734" t="s">
        <v>868</v>
      </c>
      <c r="D734" t="s">
        <v>869</v>
      </c>
      <c r="E734">
        <v>0</v>
      </c>
      <c r="F734">
        <v>0</v>
      </c>
      <c r="G734">
        <f t="shared" si="34"/>
        <v>0</v>
      </c>
      <c r="H734">
        <f t="shared" si="33"/>
        <v>0</v>
      </c>
      <c r="I734" t="str">
        <f>_xlfn.XLOOKUP(A734,'[1]Forecast 2026'!$A:$A,'[1]Forecast 2026'!$AJ:$AJ,"NA",0,1)</f>
        <v>NA</v>
      </c>
      <c r="J734" t="str">
        <f t="shared" si="35"/>
        <v/>
      </c>
    </row>
    <row r="735" spans="1:10" hidden="1" x14ac:dyDescent="0.35">
      <c r="A735" t="s">
        <v>1488</v>
      </c>
      <c r="B735" t="s">
        <v>1489</v>
      </c>
      <c r="C735" t="s">
        <v>868</v>
      </c>
      <c r="D735" t="s">
        <v>869</v>
      </c>
      <c r="E735">
        <v>0</v>
      </c>
      <c r="F735">
        <v>0</v>
      </c>
      <c r="G735">
        <f t="shared" si="34"/>
        <v>0</v>
      </c>
      <c r="H735">
        <f t="shared" si="33"/>
        <v>0</v>
      </c>
      <c r="I735" t="str">
        <f>_xlfn.XLOOKUP(A735,'[1]Forecast 2026'!$A:$A,'[1]Forecast 2026'!$AJ:$AJ,"NA",0,1)</f>
        <v>NA</v>
      </c>
      <c r="J735" t="str">
        <f t="shared" si="35"/>
        <v/>
      </c>
    </row>
    <row r="736" spans="1:10" hidden="1" x14ac:dyDescent="0.35">
      <c r="A736" t="s">
        <v>1490</v>
      </c>
      <c r="B736" t="s">
        <v>1491</v>
      </c>
      <c r="C736" t="s">
        <v>868</v>
      </c>
      <c r="D736" t="s">
        <v>869</v>
      </c>
      <c r="E736">
        <v>0</v>
      </c>
      <c r="F736">
        <v>0</v>
      </c>
      <c r="G736">
        <f t="shared" si="34"/>
        <v>0</v>
      </c>
      <c r="H736">
        <f t="shared" si="33"/>
        <v>0</v>
      </c>
      <c r="I736" t="str">
        <f>_xlfn.XLOOKUP(A736,'[1]Forecast 2026'!$A:$A,'[1]Forecast 2026'!$AJ:$AJ,"NA",0,1)</f>
        <v>NA</v>
      </c>
      <c r="J736" t="str">
        <f t="shared" si="35"/>
        <v/>
      </c>
    </row>
    <row r="737" spans="1:10" hidden="1" x14ac:dyDescent="0.35">
      <c r="A737" t="s">
        <v>1492</v>
      </c>
      <c r="B737" t="s">
        <v>1493</v>
      </c>
      <c r="C737" t="s">
        <v>868</v>
      </c>
      <c r="D737" t="s">
        <v>869</v>
      </c>
      <c r="E737">
        <v>0</v>
      </c>
      <c r="F737">
        <v>0</v>
      </c>
      <c r="G737">
        <f t="shared" si="34"/>
        <v>0</v>
      </c>
      <c r="H737">
        <f t="shared" si="33"/>
        <v>0</v>
      </c>
      <c r="I737" t="str">
        <f>_xlfn.XLOOKUP(A737,'[1]Forecast 2026'!$A:$A,'[1]Forecast 2026'!$AJ:$AJ,"NA",0,1)</f>
        <v>NA</v>
      </c>
      <c r="J737" t="str">
        <f t="shared" si="35"/>
        <v/>
      </c>
    </row>
    <row r="738" spans="1:10" hidden="1" x14ac:dyDescent="0.35">
      <c r="A738" t="s">
        <v>1494</v>
      </c>
      <c r="B738" t="s">
        <v>1495</v>
      </c>
      <c r="C738" t="s">
        <v>868</v>
      </c>
      <c r="D738" t="s">
        <v>869</v>
      </c>
      <c r="E738">
        <v>0</v>
      </c>
      <c r="F738">
        <v>0</v>
      </c>
      <c r="G738">
        <f t="shared" si="34"/>
        <v>0</v>
      </c>
      <c r="H738">
        <f t="shared" si="33"/>
        <v>0</v>
      </c>
      <c r="I738" t="str">
        <f>_xlfn.XLOOKUP(A738,'[1]Forecast 2026'!$A:$A,'[1]Forecast 2026'!$AJ:$AJ,"NA",0,1)</f>
        <v>NA</v>
      </c>
      <c r="J738" t="str">
        <f t="shared" si="35"/>
        <v/>
      </c>
    </row>
    <row r="739" spans="1:10" hidden="1" x14ac:dyDescent="0.35">
      <c r="A739" t="s">
        <v>1496</v>
      </c>
      <c r="B739" t="s">
        <v>1497</v>
      </c>
      <c r="C739" t="s">
        <v>868</v>
      </c>
      <c r="D739" t="s">
        <v>869</v>
      </c>
      <c r="E739">
        <v>0</v>
      </c>
      <c r="F739">
        <v>0</v>
      </c>
      <c r="G739">
        <f t="shared" si="34"/>
        <v>0</v>
      </c>
      <c r="H739">
        <f t="shared" si="33"/>
        <v>0</v>
      </c>
      <c r="I739" t="str">
        <f>_xlfn.XLOOKUP(A739,'[1]Forecast 2026'!$A:$A,'[1]Forecast 2026'!$AJ:$AJ,"NA",0,1)</f>
        <v>NA</v>
      </c>
      <c r="J739" t="str">
        <f t="shared" si="35"/>
        <v/>
      </c>
    </row>
    <row r="740" spans="1:10" hidden="1" x14ac:dyDescent="0.35">
      <c r="A740" t="s">
        <v>1498</v>
      </c>
      <c r="B740" t="s">
        <v>1499</v>
      </c>
      <c r="C740" t="s">
        <v>868</v>
      </c>
      <c r="D740" t="s">
        <v>869</v>
      </c>
      <c r="E740">
        <v>0</v>
      </c>
      <c r="F740">
        <v>0</v>
      </c>
      <c r="G740">
        <f t="shared" si="34"/>
        <v>0</v>
      </c>
      <c r="H740">
        <f t="shared" si="33"/>
        <v>0</v>
      </c>
      <c r="I740" t="str">
        <f>_xlfn.XLOOKUP(A740,'[1]Forecast 2026'!$A:$A,'[1]Forecast 2026'!$AJ:$AJ,"NA",0,1)</f>
        <v>NA</v>
      </c>
      <c r="J740" t="str">
        <f t="shared" si="35"/>
        <v/>
      </c>
    </row>
    <row r="741" spans="1:10" hidden="1" x14ac:dyDescent="0.35">
      <c r="A741" t="s">
        <v>1500</v>
      </c>
      <c r="B741" t="s">
        <v>1501</v>
      </c>
      <c r="C741" t="s">
        <v>868</v>
      </c>
      <c r="D741" t="s">
        <v>869</v>
      </c>
      <c r="E741">
        <v>0</v>
      </c>
      <c r="F741">
        <v>0</v>
      </c>
      <c r="G741">
        <f t="shared" si="34"/>
        <v>0</v>
      </c>
      <c r="H741">
        <f t="shared" si="33"/>
        <v>0</v>
      </c>
      <c r="I741" t="str">
        <f>_xlfn.XLOOKUP(A741,'[1]Forecast 2026'!$A:$A,'[1]Forecast 2026'!$AJ:$AJ,"NA",0,1)</f>
        <v>NA</v>
      </c>
      <c r="J741" t="str">
        <f t="shared" si="35"/>
        <v/>
      </c>
    </row>
    <row r="742" spans="1:10" hidden="1" x14ac:dyDescent="0.35">
      <c r="A742" t="s">
        <v>1502</v>
      </c>
      <c r="B742" t="s">
        <v>1503</v>
      </c>
      <c r="C742" t="s">
        <v>868</v>
      </c>
      <c r="D742" t="s">
        <v>869</v>
      </c>
      <c r="E742">
        <v>0</v>
      </c>
      <c r="F742">
        <v>0</v>
      </c>
      <c r="G742">
        <f t="shared" si="34"/>
        <v>0</v>
      </c>
      <c r="H742">
        <f t="shared" si="33"/>
        <v>0</v>
      </c>
      <c r="I742" t="str">
        <f>_xlfn.XLOOKUP(A742,'[1]Forecast 2026'!$A:$A,'[1]Forecast 2026'!$AJ:$AJ,"NA",0,1)</f>
        <v>NA</v>
      </c>
      <c r="J742" t="str">
        <f t="shared" si="35"/>
        <v/>
      </c>
    </row>
    <row r="743" spans="1:10" hidden="1" x14ac:dyDescent="0.35">
      <c r="A743" t="s">
        <v>1504</v>
      </c>
      <c r="B743" t="s">
        <v>1505</v>
      </c>
      <c r="C743" t="s">
        <v>868</v>
      </c>
      <c r="D743" t="s">
        <v>869</v>
      </c>
      <c r="E743">
        <v>0</v>
      </c>
      <c r="F743">
        <v>0</v>
      </c>
      <c r="G743">
        <f t="shared" si="34"/>
        <v>0</v>
      </c>
      <c r="H743">
        <f t="shared" si="33"/>
        <v>0</v>
      </c>
      <c r="I743" t="str">
        <f>_xlfn.XLOOKUP(A743,'[1]Forecast 2026'!$A:$A,'[1]Forecast 2026'!$AJ:$AJ,"NA",0,1)</f>
        <v>NA</v>
      </c>
      <c r="J743" t="str">
        <f t="shared" si="35"/>
        <v/>
      </c>
    </row>
    <row r="744" spans="1:10" hidden="1" x14ac:dyDescent="0.35">
      <c r="A744" t="s">
        <v>1506</v>
      </c>
      <c r="B744" t="s">
        <v>1507</v>
      </c>
      <c r="C744" t="s">
        <v>1508</v>
      </c>
      <c r="D744" t="s">
        <v>1509</v>
      </c>
      <c r="E744">
        <v>0</v>
      </c>
      <c r="F744">
        <v>34990</v>
      </c>
      <c r="G744">
        <f t="shared" si="34"/>
        <v>0</v>
      </c>
      <c r="H744">
        <f t="shared" si="33"/>
        <v>0</v>
      </c>
      <c r="I744">
        <f>_xlfn.XLOOKUP(A744,'[1]Forecast 2026'!$A:$A,'[1]Forecast 2026'!$AJ:$AJ,"NA",0,1)</f>
        <v>0</v>
      </c>
      <c r="J744">
        <f t="shared" si="35"/>
        <v>0</v>
      </c>
    </row>
    <row r="745" spans="1:10" hidden="1" x14ac:dyDescent="0.35">
      <c r="A745" t="s">
        <v>1510</v>
      </c>
      <c r="B745" t="s">
        <v>1511</v>
      </c>
      <c r="C745" t="s">
        <v>1508</v>
      </c>
      <c r="D745" t="s">
        <v>1509</v>
      </c>
      <c r="E745">
        <v>17</v>
      </c>
      <c r="F745">
        <v>189990</v>
      </c>
      <c r="G745">
        <f t="shared" si="34"/>
        <v>3229830</v>
      </c>
      <c r="H745">
        <f t="shared" si="33"/>
        <v>-3229813</v>
      </c>
      <c r="I745">
        <f>_xlfn.XLOOKUP(A745,'[1]Forecast 2026'!$A:$A,'[1]Forecast 2026'!$AJ:$AJ,"NA",0,1)</f>
        <v>17</v>
      </c>
      <c r="J745">
        <f t="shared" si="35"/>
        <v>0</v>
      </c>
    </row>
    <row r="746" spans="1:10" hidden="1" x14ac:dyDescent="0.35">
      <c r="A746" t="s">
        <v>1512</v>
      </c>
      <c r="B746" t="s">
        <v>1513</v>
      </c>
      <c r="C746" t="s">
        <v>1508</v>
      </c>
      <c r="D746" t="s">
        <v>1514</v>
      </c>
      <c r="E746">
        <v>4</v>
      </c>
      <c r="F746">
        <v>25990</v>
      </c>
      <c r="G746">
        <f t="shared" si="34"/>
        <v>103960</v>
      </c>
      <c r="H746">
        <f t="shared" si="33"/>
        <v>-103956</v>
      </c>
      <c r="I746">
        <f>_xlfn.XLOOKUP(A746,'[1]Forecast 2026'!$A:$A,'[1]Forecast 2026'!$AJ:$AJ,"NA",0,1)</f>
        <v>4</v>
      </c>
      <c r="J746">
        <f t="shared" si="35"/>
        <v>0</v>
      </c>
    </row>
    <row r="747" spans="1:10" hidden="1" x14ac:dyDescent="0.35">
      <c r="A747" t="s">
        <v>1515</v>
      </c>
      <c r="B747" t="s">
        <v>1516</v>
      </c>
      <c r="C747" t="s">
        <v>1508</v>
      </c>
      <c r="D747" t="s">
        <v>1514</v>
      </c>
      <c r="E747">
        <v>5</v>
      </c>
      <c r="F747">
        <v>25990</v>
      </c>
      <c r="G747">
        <f t="shared" si="34"/>
        <v>129950</v>
      </c>
      <c r="H747">
        <f t="shared" si="33"/>
        <v>-129945</v>
      </c>
      <c r="I747">
        <f>_xlfn.XLOOKUP(A747,'[1]Forecast 2026'!$A:$A,'[1]Forecast 2026'!$AJ:$AJ,"NA",0,1)</f>
        <v>5</v>
      </c>
      <c r="J747">
        <f t="shared" si="35"/>
        <v>0</v>
      </c>
    </row>
    <row r="748" spans="1:10" hidden="1" x14ac:dyDescent="0.35">
      <c r="A748" t="s">
        <v>1517</v>
      </c>
      <c r="B748" t="s">
        <v>1518</v>
      </c>
      <c r="C748" t="s">
        <v>1508</v>
      </c>
      <c r="D748" t="s">
        <v>1514</v>
      </c>
      <c r="E748">
        <v>2</v>
      </c>
      <c r="F748">
        <v>25990</v>
      </c>
      <c r="G748">
        <f t="shared" si="34"/>
        <v>51980</v>
      </c>
      <c r="H748">
        <f t="shared" si="33"/>
        <v>-51978</v>
      </c>
      <c r="I748">
        <f>_xlfn.XLOOKUP(A748,'[1]Forecast 2026'!$A:$A,'[1]Forecast 2026'!$AJ:$AJ,"NA",0,1)</f>
        <v>2</v>
      </c>
      <c r="J748">
        <f t="shared" si="35"/>
        <v>0</v>
      </c>
    </row>
    <row r="749" spans="1:10" hidden="1" x14ac:dyDescent="0.35">
      <c r="A749" t="s">
        <v>1519</v>
      </c>
      <c r="B749" t="s">
        <v>1520</v>
      </c>
      <c r="C749" t="s">
        <v>1508</v>
      </c>
      <c r="D749" t="s">
        <v>1514</v>
      </c>
      <c r="E749">
        <v>3</v>
      </c>
      <c r="F749">
        <v>25990</v>
      </c>
      <c r="G749">
        <f t="shared" si="34"/>
        <v>77970</v>
      </c>
      <c r="H749">
        <f t="shared" si="33"/>
        <v>-77967</v>
      </c>
      <c r="I749">
        <f>_xlfn.XLOOKUP(A749,'[1]Forecast 2026'!$A:$A,'[1]Forecast 2026'!$AJ:$AJ,"NA",0,1)</f>
        <v>3</v>
      </c>
      <c r="J749">
        <f t="shared" si="35"/>
        <v>0</v>
      </c>
    </row>
    <row r="750" spans="1:10" hidden="1" x14ac:dyDescent="0.35">
      <c r="A750" t="s">
        <v>1521</v>
      </c>
      <c r="B750" t="s">
        <v>1522</v>
      </c>
      <c r="C750" t="s">
        <v>1508</v>
      </c>
      <c r="D750" t="s">
        <v>1514</v>
      </c>
      <c r="E750">
        <v>3</v>
      </c>
      <c r="F750">
        <v>33990</v>
      </c>
      <c r="G750">
        <f t="shared" si="34"/>
        <v>101970</v>
      </c>
      <c r="H750">
        <f t="shared" si="33"/>
        <v>-101967</v>
      </c>
      <c r="I750">
        <f>_xlfn.XLOOKUP(A750,'[1]Forecast 2026'!$A:$A,'[1]Forecast 2026'!$AJ:$AJ,"NA",0,1)</f>
        <v>3</v>
      </c>
      <c r="J750">
        <f t="shared" si="35"/>
        <v>0</v>
      </c>
    </row>
    <row r="751" spans="1:10" hidden="1" x14ac:dyDescent="0.35">
      <c r="A751" t="s">
        <v>1523</v>
      </c>
      <c r="B751" t="s">
        <v>1524</v>
      </c>
      <c r="C751" t="s">
        <v>1508</v>
      </c>
      <c r="D751" t="s">
        <v>1514</v>
      </c>
      <c r="E751">
        <v>1</v>
      </c>
      <c r="F751">
        <v>33990</v>
      </c>
      <c r="G751">
        <f t="shared" si="34"/>
        <v>33990</v>
      </c>
      <c r="H751">
        <f t="shared" si="33"/>
        <v>-33989</v>
      </c>
      <c r="I751">
        <f>_xlfn.XLOOKUP(A751,'[1]Forecast 2026'!$A:$A,'[1]Forecast 2026'!$AJ:$AJ,"NA",0,1)</f>
        <v>1</v>
      </c>
      <c r="J751">
        <f t="shared" si="35"/>
        <v>0</v>
      </c>
    </row>
    <row r="752" spans="1:10" hidden="1" x14ac:dyDescent="0.35">
      <c r="A752" t="s">
        <v>1525</v>
      </c>
      <c r="B752" t="s">
        <v>1526</v>
      </c>
      <c r="C752" t="s">
        <v>1508</v>
      </c>
      <c r="D752" t="s">
        <v>1514</v>
      </c>
      <c r="E752">
        <v>1</v>
      </c>
      <c r="F752">
        <v>33990</v>
      </c>
      <c r="G752">
        <f t="shared" si="34"/>
        <v>33990</v>
      </c>
      <c r="H752">
        <f t="shared" si="33"/>
        <v>-33989</v>
      </c>
      <c r="I752">
        <f>_xlfn.XLOOKUP(A752,'[1]Forecast 2026'!$A:$A,'[1]Forecast 2026'!$AJ:$AJ,"NA",0,1)</f>
        <v>1</v>
      </c>
      <c r="J752">
        <f t="shared" si="35"/>
        <v>0</v>
      </c>
    </row>
    <row r="753" spans="1:10" hidden="1" x14ac:dyDescent="0.35">
      <c r="A753" t="s">
        <v>1527</v>
      </c>
      <c r="B753" t="s">
        <v>1528</v>
      </c>
      <c r="C753" t="s">
        <v>1508</v>
      </c>
      <c r="D753" t="s">
        <v>1514</v>
      </c>
      <c r="E753">
        <v>3</v>
      </c>
      <c r="F753">
        <v>33990</v>
      </c>
      <c r="G753">
        <f t="shared" si="34"/>
        <v>101970</v>
      </c>
      <c r="H753">
        <f t="shared" si="33"/>
        <v>-101967</v>
      </c>
      <c r="I753">
        <f>_xlfn.XLOOKUP(A753,'[1]Forecast 2026'!$A:$A,'[1]Forecast 2026'!$AJ:$AJ,"NA",0,1)</f>
        <v>3</v>
      </c>
      <c r="J753">
        <f t="shared" si="35"/>
        <v>0</v>
      </c>
    </row>
    <row r="754" spans="1:10" hidden="1" x14ac:dyDescent="0.35">
      <c r="A754" t="s">
        <v>1529</v>
      </c>
      <c r="B754" t="s">
        <v>1530</v>
      </c>
      <c r="C754" t="s">
        <v>1508</v>
      </c>
      <c r="D754" t="s">
        <v>1514</v>
      </c>
      <c r="E754">
        <v>4</v>
      </c>
      <c r="F754">
        <v>39990</v>
      </c>
      <c r="G754">
        <f t="shared" si="34"/>
        <v>159960</v>
      </c>
      <c r="H754">
        <f t="shared" si="33"/>
        <v>-159956</v>
      </c>
      <c r="I754">
        <f>_xlfn.XLOOKUP(A754,'[1]Forecast 2026'!$A:$A,'[1]Forecast 2026'!$AJ:$AJ,"NA",0,1)</f>
        <v>4</v>
      </c>
      <c r="J754">
        <f t="shared" si="35"/>
        <v>0</v>
      </c>
    </row>
    <row r="755" spans="1:10" hidden="1" x14ac:dyDescent="0.35">
      <c r="A755" t="s">
        <v>1531</v>
      </c>
      <c r="B755" t="s">
        <v>1532</v>
      </c>
      <c r="C755" t="s">
        <v>1508</v>
      </c>
      <c r="D755" t="s">
        <v>1514</v>
      </c>
      <c r="E755">
        <v>1</v>
      </c>
      <c r="F755">
        <v>39990</v>
      </c>
      <c r="G755">
        <f t="shared" si="34"/>
        <v>39990</v>
      </c>
      <c r="H755">
        <f t="shared" si="33"/>
        <v>-39989</v>
      </c>
      <c r="I755">
        <f>_xlfn.XLOOKUP(A755,'[1]Forecast 2026'!$A:$A,'[1]Forecast 2026'!$AJ:$AJ,"NA",0,1)</f>
        <v>1</v>
      </c>
      <c r="J755">
        <f t="shared" si="35"/>
        <v>0</v>
      </c>
    </row>
    <row r="756" spans="1:10" hidden="1" x14ac:dyDescent="0.35">
      <c r="A756" t="s">
        <v>1533</v>
      </c>
      <c r="B756" t="s">
        <v>1534</v>
      </c>
      <c r="C756" t="s">
        <v>1508</v>
      </c>
      <c r="D756" t="s">
        <v>1514</v>
      </c>
      <c r="E756">
        <v>1</v>
      </c>
      <c r="F756">
        <v>39990</v>
      </c>
      <c r="G756">
        <f t="shared" si="34"/>
        <v>39990</v>
      </c>
      <c r="H756">
        <f t="shared" si="33"/>
        <v>-39989</v>
      </c>
      <c r="I756">
        <f>_xlfn.XLOOKUP(A756,'[1]Forecast 2026'!$A:$A,'[1]Forecast 2026'!$AJ:$AJ,"NA",0,1)</f>
        <v>1</v>
      </c>
      <c r="J756">
        <f t="shared" si="35"/>
        <v>0</v>
      </c>
    </row>
    <row r="757" spans="1:10" hidden="1" x14ac:dyDescent="0.35">
      <c r="A757" t="s">
        <v>1535</v>
      </c>
      <c r="B757" t="s">
        <v>1536</v>
      </c>
      <c r="C757" t="s">
        <v>1508</v>
      </c>
      <c r="D757" t="s">
        <v>1514</v>
      </c>
      <c r="E757">
        <v>3</v>
      </c>
      <c r="F757">
        <v>39990</v>
      </c>
      <c r="G757">
        <f t="shared" si="34"/>
        <v>119970</v>
      </c>
      <c r="H757">
        <f t="shared" si="33"/>
        <v>-119967</v>
      </c>
      <c r="I757">
        <f>_xlfn.XLOOKUP(A757,'[1]Forecast 2026'!$A:$A,'[1]Forecast 2026'!$AJ:$AJ,"NA",0,1)</f>
        <v>3</v>
      </c>
      <c r="J757">
        <f t="shared" si="35"/>
        <v>0</v>
      </c>
    </row>
    <row r="758" spans="1:10" hidden="1" x14ac:dyDescent="0.35">
      <c r="A758" t="s">
        <v>1537</v>
      </c>
      <c r="B758" t="s">
        <v>1538</v>
      </c>
      <c r="C758" t="s">
        <v>1508</v>
      </c>
      <c r="D758" t="s">
        <v>1514</v>
      </c>
      <c r="E758">
        <v>2</v>
      </c>
      <c r="F758">
        <v>41990</v>
      </c>
      <c r="G758">
        <f t="shared" si="34"/>
        <v>83980</v>
      </c>
      <c r="H758">
        <f t="shared" si="33"/>
        <v>-83978</v>
      </c>
      <c r="I758">
        <f>_xlfn.XLOOKUP(A758,'[1]Forecast 2026'!$A:$A,'[1]Forecast 2026'!$AJ:$AJ,"NA",0,1)</f>
        <v>2</v>
      </c>
      <c r="J758">
        <f t="shared" si="35"/>
        <v>0</v>
      </c>
    </row>
    <row r="759" spans="1:10" hidden="1" x14ac:dyDescent="0.35">
      <c r="A759" t="s">
        <v>1539</v>
      </c>
      <c r="B759" t="s">
        <v>1540</v>
      </c>
      <c r="C759" t="s">
        <v>1508</v>
      </c>
      <c r="D759" t="s">
        <v>1514</v>
      </c>
      <c r="E759">
        <v>4</v>
      </c>
      <c r="F759">
        <v>41990</v>
      </c>
      <c r="G759">
        <f t="shared" si="34"/>
        <v>167960</v>
      </c>
      <c r="H759">
        <f t="shared" si="33"/>
        <v>-167956</v>
      </c>
      <c r="I759">
        <f>_xlfn.XLOOKUP(A759,'[1]Forecast 2026'!$A:$A,'[1]Forecast 2026'!$AJ:$AJ,"NA",0,1)</f>
        <v>4</v>
      </c>
      <c r="J759">
        <f t="shared" si="35"/>
        <v>0</v>
      </c>
    </row>
    <row r="760" spans="1:10" hidden="1" x14ac:dyDescent="0.35">
      <c r="A760" t="s">
        <v>1541</v>
      </c>
      <c r="B760" t="s">
        <v>1542</v>
      </c>
      <c r="C760" t="s">
        <v>1508</v>
      </c>
      <c r="D760" t="s">
        <v>1514</v>
      </c>
      <c r="E760">
        <v>3</v>
      </c>
      <c r="F760">
        <v>41990</v>
      </c>
      <c r="G760">
        <f t="shared" si="34"/>
        <v>125970</v>
      </c>
      <c r="H760">
        <f t="shared" si="33"/>
        <v>-125967</v>
      </c>
      <c r="I760">
        <f>_xlfn.XLOOKUP(A760,'[1]Forecast 2026'!$A:$A,'[1]Forecast 2026'!$AJ:$AJ,"NA",0,1)</f>
        <v>3</v>
      </c>
      <c r="J760">
        <f t="shared" si="35"/>
        <v>0</v>
      </c>
    </row>
    <row r="761" spans="1:10" hidden="1" x14ac:dyDescent="0.35">
      <c r="A761" t="s">
        <v>1543</v>
      </c>
      <c r="B761" t="s">
        <v>1544</v>
      </c>
      <c r="C761" t="s">
        <v>1508</v>
      </c>
      <c r="D761" t="s">
        <v>1514</v>
      </c>
      <c r="E761">
        <v>0</v>
      </c>
      <c r="F761">
        <v>41990</v>
      </c>
      <c r="G761">
        <f t="shared" si="34"/>
        <v>0</v>
      </c>
      <c r="H761">
        <f t="shared" si="33"/>
        <v>0</v>
      </c>
      <c r="I761">
        <f>_xlfn.XLOOKUP(A761,'[1]Forecast 2026'!$A:$A,'[1]Forecast 2026'!$AJ:$AJ,"NA",0,1)</f>
        <v>0</v>
      </c>
      <c r="J761">
        <f t="shared" si="35"/>
        <v>0</v>
      </c>
    </row>
    <row r="762" spans="1:10" hidden="1" x14ac:dyDescent="0.35">
      <c r="A762" t="s">
        <v>1545</v>
      </c>
      <c r="B762" t="s">
        <v>1546</v>
      </c>
      <c r="C762" t="s">
        <v>1508</v>
      </c>
      <c r="D762" t="s">
        <v>1514</v>
      </c>
      <c r="E762">
        <v>1</v>
      </c>
      <c r="F762">
        <v>41990</v>
      </c>
      <c r="G762">
        <f t="shared" si="34"/>
        <v>41990</v>
      </c>
      <c r="H762">
        <f t="shared" si="33"/>
        <v>-41989</v>
      </c>
      <c r="I762">
        <f>_xlfn.XLOOKUP(A762,'[1]Forecast 2026'!$A:$A,'[1]Forecast 2026'!$AJ:$AJ,"NA",0,1)</f>
        <v>1</v>
      </c>
      <c r="J762">
        <f t="shared" si="35"/>
        <v>0</v>
      </c>
    </row>
    <row r="763" spans="1:10" hidden="1" x14ac:dyDescent="0.35">
      <c r="A763" t="s">
        <v>1547</v>
      </c>
      <c r="B763" t="s">
        <v>1548</v>
      </c>
      <c r="C763" t="s">
        <v>1508</v>
      </c>
      <c r="D763" t="s">
        <v>1514</v>
      </c>
      <c r="E763">
        <v>1</v>
      </c>
      <c r="F763">
        <v>44990</v>
      </c>
      <c r="G763">
        <f t="shared" si="34"/>
        <v>44990</v>
      </c>
      <c r="H763">
        <f t="shared" si="33"/>
        <v>-44989</v>
      </c>
      <c r="I763">
        <f>_xlfn.XLOOKUP(A763,'[1]Forecast 2026'!$A:$A,'[1]Forecast 2026'!$AJ:$AJ,"NA",0,1)</f>
        <v>1</v>
      </c>
      <c r="J763">
        <f t="shared" si="35"/>
        <v>0</v>
      </c>
    </row>
    <row r="764" spans="1:10" hidden="1" x14ac:dyDescent="0.35">
      <c r="A764" t="s">
        <v>1549</v>
      </c>
      <c r="B764" t="s">
        <v>1550</v>
      </c>
      <c r="C764" t="s">
        <v>1508</v>
      </c>
      <c r="D764" t="s">
        <v>1514</v>
      </c>
      <c r="E764">
        <v>4</v>
      </c>
      <c r="F764">
        <v>44990</v>
      </c>
      <c r="G764">
        <f t="shared" si="34"/>
        <v>179960</v>
      </c>
      <c r="H764">
        <f t="shared" si="33"/>
        <v>-179956</v>
      </c>
      <c r="I764">
        <f>_xlfn.XLOOKUP(A764,'[1]Forecast 2026'!$A:$A,'[1]Forecast 2026'!$AJ:$AJ,"NA",0,1)</f>
        <v>4</v>
      </c>
      <c r="J764">
        <f t="shared" si="35"/>
        <v>0</v>
      </c>
    </row>
    <row r="765" spans="1:10" hidden="1" x14ac:dyDescent="0.35">
      <c r="A765" t="s">
        <v>1551</v>
      </c>
      <c r="B765" t="s">
        <v>1552</v>
      </c>
      <c r="C765" t="s">
        <v>1508</v>
      </c>
      <c r="D765" t="s">
        <v>1514</v>
      </c>
      <c r="E765">
        <v>1</v>
      </c>
      <c r="F765">
        <v>44990</v>
      </c>
      <c r="G765">
        <f t="shared" si="34"/>
        <v>44990</v>
      </c>
      <c r="H765">
        <f t="shared" si="33"/>
        <v>-44989</v>
      </c>
      <c r="I765">
        <f>_xlfn.XLOOKUP(A765,'[1]Forecast 2026'!$A:$A,'[1]Forecast 2026'!$AJ:$AJ,"NA",0,1)</f>
        <v>1</v>
      </c>
      <c r="J765">
        <f t="shared" si="35"/>
        <v>0</v>
      </c>
    </row>
    <row r="766" spans="1:10" hidden="1" x14ac:dyDescent="0.35">
      <c r="A766" t="s">
        <v>1553</v>
      </c>
      <c r="B766" t="s">
        <v>1554</v>
      </c>
      <c r="C766" t="s">
        <v>1508</v>
      </c>
      <c r="D766" t="s">
        <v>1514</v>
      </c>
      <c r="E766">
        <v>4</v>
      </c>
      <c r="F766">
        <v>44990</v>
      </c>
      <c r="G766">
        <f t="shared" si="34"/>
        <v>179960</v>
      </c>
      <c r="H766">
        <f t="shared" si="33"/>
        <v>-179956</v>
      </c>
      <c r="I766">
        <f>_xlfn.XLOOKUP(A766,'[1]Forecast 2026'!$A:$A,'[1]Forecast 2026'!$AJ:$AJ,"NA",0,1)</f>
        <v>4</v>
      </c>
      <c r="J766">
        <f t="shared" si="35"/>
        <v>0</v>
      </c>
    </row>
    <row r="767" spans="1:10" hidden="1" x14ac:dyDescent="0.35">
      <c r="A767" t="s">
        <v>1555</v>
      </c>
      <c r="B767" t="s">
        <v>1556</v>
      </c>
      <c r="C767" t="s">
        <v>1508</v>
      </c>
      <c r="D767" t="s">
        <v>1514</v>
      </c>
      <c r="E767">
        <v>1</v>
      </c>
      <c r="F767">
        <v>47990</v>
      </c>
      <c r="G767">
        <f t="shared" si="34"/>
        <v>47990</v>
      </c>
      <c r="H767">
        <f t="shared" si="33"/>
        <v>-47989</v>
      </c>
      <c r="I767">
        <f>_xlfn.XLOOKUP(A767,'[1]Forecast 2026'!$A:$A,'[1]Forecast 2026'!$AJ:$AJ,"NA",0,1)</f>
        <v>1</v>
      </c>
      <c r="J767">
        <f t="shared" si="35"/>
        <v>0</v>
      </c>
    </row>
    <row r="768" spans="1:10" hidden="1" x14ac:dyDescent="0.35">
      <c r="A768" t="s">
        <v>1557</v>
      </c>
      <c r="B768" t="s">
        <v>1558</v>
      </c>
      <c r="C768" t="s">
        <v>1508</v>
      </c>
      <c r="D768" t="s">
        <v>1514</v>
      </c>
      <c r="E768">
        <v>1</v>
      </c>
      <c r="F768">
        <v>47990</v>
      </c>
      <c r="G768">
        <f t="shared" si="34"/>
        <v>47990</v>
      </c>
      <c r="H768">
        <f t="shared" si="33"/>
        <v>-47989</v>
      </c>
      <c r="I768">
        <f>_xlfn.XLOOKUP(A768,'[1]Forecast 2026'!$A:$A,'[1]Forecast 2026'!$AJ:$AJ,"NA",0,1)</f>
        <v>1</v>
      </c>
      <c r="J768">
        <f t="shared" si="35"/>
        <v>0</v>
      </c>
    </row>
    <row r="769" spans="1:10" hidden="1" x14ac:dyDescent="0.35">
      <c r="A769" t="s">
        <v>1559</v>
      </c>
      <c r="B769" t="s">
        <v>1560</v>
      </c>
      <c r="C769" t="s">
        <v>1508</v>
      </c>
      <c r="D769" t="s">
        <v>1514</v>
      </c>
      <c r="E769">
        <v>1</v>
      </c>
      <c r="F769">
        <v>47990</v>
      </c>
      <c r="G769">
        <f t="shared" si="34"/>
        <v>47990</v>
      </c>
      <c r="H769">
        <f t="shared" si="33"/>
        <v>-47989</v>
      </c>
      <c r="I769">
        <f>_xlfn.XLOOKUP(A769,'[1]Forecast 2026'!$A:$A,'[1]Forecast 2026'!$AJ:$AJ,"NA",0,1)</f>
        <v>1</v>
      </c>
      <c r="J769">
        <f t="shared" si="35"/>
        <v>0</v>
      </c>
    </row>
    <row r="770" spans="1:10" hidden="1" x14ac:dyDescent="0.35">
      <c r="A770" t="s">
        <v>1561</v>
      </c>
      <c r="B770" t="s">
        <v>1562</v>
      </c>
      <c r="C770" t="s">
        <v>1508</v>
      </c>
      <c r="D770" t="s">
        <v>1514</v>
      </c>
      <c r="E770">
        <v>2</v>
      </c>
      <c r="F770">
        <v>47990</v>
      </c>
      <c r="G770">
        <f t="shared" si="34"/>
        <v>95980</v>
      </c>
      <c r="H770">
        <f t="shared" si="33"/>
        <v>-95978</v>
      </c>
      <c r="I770">
        <f>_xlfn.XLOOKUP(A770,'[1]Forecast 2026'!$A:$A,'[1]Forecast 2026'!$AJ:$AJ,"NA",0,1)</f>
        <v>2</v>
      </c>
      <c r="J770">
        <f t="shared" si="35"/>
        <v>0</v>
      </c>
    </row>
    <row r="771" spans="1:10" hidden="1" x14ac:dyDescent="0.35">
      <c r="A771" t="s">
        <v>1563</v>
      </c>
      <c r="B771" t="s">
        <v>1564</v>
      </c>
      <c r="C771" t="s">
        <v>1508</v>
      </c>
      <c r="D771" t="s">
        <v>1514</v>
      </c>
      <c r="E771">
        <v>1</v>
      </c>
      <c r="F771">
        <v>49990</v>
      </c>
      <c r="G771">
        <f t="shared" si="34"/>
        <v>49990</v>
      </c>
      <c r="H771">
        <f t="shared" ref="H771:H834" si="36">E771-G771</f>
        <v>-49989</v>
      </c>
      <c r="I771">
        <f>_xlfn.XLOOKUP(A771,'[1]Forecast 2026'!$A:$A,'[1]Forecast 2026'!$AJ:$AJ,"NA",0,1)</f>
        <v>1</v>
      </c>
      <c r="J771">
        <f t="shared" si="35"/>
        <v>0</v>
      </c>
    </row>
    <row r="772" spans="1:10" hidden="1" x14ac:dyDescent="0.35">
      <c r="A772" t="s">
        <v>1565</v>
      </c>
      <c r="B772" t="s">
        <v>1566</v>
      </c>
      <c r="C772" t="s">
        <v>1508</v>
      </c>
      <c r="D772" t="s">
        <v>1514</v>
      </c>
      <c r="E772">
        <v>4</v>
      </c>
      <c r="F772">
        <v>49990</v>
      </c>
      <c r="G772">
        <f t="shared" ref="G772:G835" si="37">F772*E772</f>
        <v>199960</v>
      </c>
      <c r="H772">
        <f t="shared" si="36"/>
        <v>-199956</v>
      </c>
      <c r="I772">
        <f>_xlfn.XLOOKUP(A772,'[1]Forecast 2026'!$A:$A,'[1]Forecast 2026'!$AJ:$AJ,"NA",0,1)</f>
        <v>4</v>
      </c>
      <c r="J772">
        <f t="shared" ref="J772:J835" si="38">IFERROR(E772-I772,"")</f>
        <v>0</v>
      </c>
    </row>
    <row r="773" spans="1:10" hidden="1" x14ac:dyDescent="0.35">
      <c r="A773" t="s">
        <v>1567</v>
      </c>
      <c r="B773" t="s">
        <v>1568</v>
      </c>
      <c r="C773" t="s">
        <v>1508</v>
      </c>
      <c r="D773" t="s">
        <v>1514</v>
      </c>
      <c r="E773">
        <v>4</v>
      </c>
      <c r="F773">
        <v>49990</v>
      </c>
      <c r="G773">
        <f t="shared" si="37"/>
        <v>199960</v>
      </c>
      <c r="H773">
        <f t="shared" si="36"/>
        <v>-199956</v>
      </c>
      <c r="I773">
        <f>_xlfn.XLOOKUP(A773,'[1]Forecast 2026'!$A:$A,'[1]Forecast 2026'!$AJ:$AJ,"NA",0,1)</f>
        <v>4</v>
      </c>
      <c r="J773">
        <f t="shared" si="38"/>
        <v>0</v>
      </c>
    </row>
    <row r="774" spans="1:10" hidden="1" x14ac:dyDescent="0.35">
      <c r="A774" t="s">
        <v>1569</v>
      </c>
      <c r="B774" t="s">
        <v>1570</v>
      </c>
      <c r="C774" t="s">
        <v>1508</v>
      </c>
      <c r="D774" t="s">
        <v>1514</v>
      </c>
      <c r="E774">
        <v>3</v>
      </c>
      <c r="F774">
        <v>49990</v>
      </c>
      <c r="G774">
        <f t="shared" si="37"/>
        <v>149970</v>
      </c>
      <c r="H774">
        <f t="shared" si="36"/>
        <v>-149967</v>
      </c>
      <c r="I774">
        <f>_xlfn.XLOOKUP(A774,'[1]Forecast 2026'!$A:$A,'[1]Forecast 2026'!$AJ:$AJ,"NA",0,1)</f>
        <v>3</v>
      </c>
      <c r="J774">
        <f t="shared" si="38"/>
        <v>0</v>
      </c>
    </row>
    <row r="775" spans="1:10" hidden="1" x14ac:dyDescent="0.35">
      <c r="A775" t="s">
        <v>1571</v>
      </c>
      <c r="B775" t="s">
        <v>1572</v>
      </c>
      <c r="C775" t="s">
        <v>1508</v>
      </c>
      <c r="D775" t="s">
        <v>1514</v>
      </c>
      <c r="E775">
        <v>11</v>
      </c>
      <c r="F775">
        <v>52990</v>
      </c>
      <c r="G775">
        <f t="shared" si="37"/>
        <v>582890</v>
      </c>
      <c r="H775">
        <f t="shared" si="36"/>
        <v>-582879</v>
      </c>
      <c r="I775">
        <f>_xlfn.XLOOKUP(A775,'[1]Forecast 2026'!$A:$A,'[1]Forecast 2026'!$AJ:$AJ,"NA",0,1)</f>
        <v>11</v>
      </c>
      <c r="J775">
        <f t="shared" si="38"/>
        <v>0</v>
      </c>
    </row>
    <row r="776" spans="1:10" hidden="1" x14ac:dyDescent="0.35">
      <c r="A776" t="s">
        <v>1573</v>
      </c>
      <c r="B776" t="s">
        <v>1574</v>
      </c>
      <c r="C776" t="s">
        <v>1508</v>
      </c>
      <c r="D776" t="s">
        <v>1514</v>
      </c>
      <c r="E776">
        <v>7</v>
      </c>
      <c r="F776">
        <v>52990</v>
      </c>
      <c r="G776">
        <f t="shared" si="37"/>
        <v>370930</v>
      </c>
      <c r="H776">
        <f t="shared" si="36"/>
        <v>-370923</v>
      </c>
      <c r="I776">
        <f>_xlfn.XLOOKUP(A776,'[1]Forecast 2026'!$A:$A,'[1]Forecast 2026'!$AJ:$AJ,"NA",0,1)</f>
        <v>7</v>
      </c>
      <c r="J776">
        <f t="shared" si="38"/>
        <v>0</v>
      </c>
    </row>
    <row r="777" spans="1:10" hidden="1" x14ac:dyDescent="0.35">
      <c r="A777" t="s">
        <v>1575</v>
      </c>
      <c r="B777" t="s">
        <v>1576</v>
      </c>
      <c r="C777" t="s">
        <v>1508</v>
      </c>
      <c r="D777" t="s">
        <v>1514</v>
      </c>
      <c r="E777">
        <v>7</v>
      </c>
      <c r="F777">
        <v>52990</v>
      </c>
      <c r="G777">
        <f t="shared" si="37"/>
        <v>370930</v>
      </c>
      <c r="H777">
        <f t="shared" si="36"/>
        <v>-370923</v>
      </c>
      <c r="I777">
        <f>_xlfn.XLOOKUP(A777,'[1]Forecast 2026'!$A:$A,'[1]Forecast 2026'!$AJ:$AJ,"NA",0,1)</f>
        <v>7</v>
      </c>
      <c r="J777">
        <f t="shared" si="38"/>
        <v>0</v>
      </c>
    </row>
    <row r="778" spans="1:10" hidden="1" x14ac:dyDescent="0.35">
      <c r="A778" t="s">
        <v>1577</v>
      </c>
      <c r="B778" t="s">
        <v>1578</v>
      </c>
      <c r="C778" t="s">
        <v>1508</v>
      </c>
      <c r="D778" t="s">
        <v>1514</v>
      </c>
      <c r="E778">
        <v>8</v>
      </c>
      <c r="F778">
        <v>52990</v>
      </c>
      <c r="G778">
        <f t="shared" si="37"/>
        <v>423920</v>
      </c>
      <c r="H778">
        <f t="shared" si="36"/>
        <v>-423912</v>
      </c>
      <c r="I778">
        <f>_xlfn.XLOOKUP(A778,'[1]Forecast 2026'!$A:$A,'[1]Forecast 2026'!$AJ:$AJ,"NA",0,1)</f>
        <v>8</v>
      </c>
      <c r="J778">
        <f t="shared" si="38"/>
        <v>0</v>
      </c>
    </row>
    <row r="779" spans="1:10" hidden="1" x14ac:dyDescent="0.35">
      <c r="A779" t="s">
        <v>1579</v>
      </c>
      <c r="B779" t="s">
        <v>1580</v>
      </c>
      <c r="C779" t="s">
        <v>1508</v>
      </c>
      <c r="D779" t="s">
        <v>1514</v>
      </c>
      <c r="E779">
        <v>6</v>
      </c>
      <c r="F779">
        <v>56990</v>
      </c>
      <c r="G779">
        <f t="shared" si="37"/>
        <v>341940</v>
      </c>
      <c r="H779">
        <f t="shared" si="36"/>
        <v>-341934</v>
      </c>
      <c r="I779">
        <f>_xlfn.XLOOKUP(A779,'[1]Forecast 2026'!$A:$A,'[1]Forecast 2026'!$AJ:$AJ,"NA",0,1)</f>
        <v>6</v>
      </c>
      <c r="J779">
        <f t="shared" si="38"/>
        <v>0</v>
      </c>
    </row>
    <row r="780" spans="1:10" hidden="1" x14ac:dyDescent="0.35">
      <c r="A780" t="s">
        <v>1581</v>
      </c>
      <c r="B780" t="s">
        <v>1582</v>
      </c>
      <c r="C780" t="s">
        <v>1508</v>
      </c>
      <c r="D780" t="s">
        <v>1514</v>
      </c>
      <c r="E780">
        <v>3</v>
      </c>
      <c r="F780">
        <v>56990</v>
      </c>
      <c r="G780">
        <f t="shared" si="37"/>
        <v>170970</v>
      </c>
      <c r="H780">
        <f t="shared" si="36"/>
        <v>-170967</v>
      </c>
      <c r="I780">
        <f>_xlfn.XLOOKUP(A780,'[1]Forecast 2026'!$A:$A,'[1]Forecast 2026'!$AJ:$AJ,"NA",0,1)</f>
        <v>3</v>
      </c>
      <c r="J780">
        <f t="shared" si="38"/>
        <v>0</v>
      </c>
    </row>
    <row r="781" spans="1:10" hidden="1" x14ac:dyDescent="0.35">
      <c r="A781" t="s">
        <v>1583</v>
      </c>
      <c r="B781" t="s">
        <v>1584</v>
      </c>
      <c r="C781" t="s">
        <v>1508</v>
      </c>
      <c r="D781" t="s">
        <v>1514</v>
      </c>
      <c r="E781">
        <v>5</v>
      </c>
      <c r="F781">
        <v>79990</v>
      </c>
      <c r="G781">
        <f t="shared" si="37"/>
        <v>399950</v>
      </c>
      <c r="H781">
        <f t="shared" si="36"/>
        <v>-399945</v>
      </c>
      <c r="I781">
        <f>_xlfn.XLOOKUP(A781,'[1]Forecast 2026'!$A:$A,'[1]Forecast 2026'!$AJ:$AJ,"NA",0,1)</f>
        <v>5</v>
      </c>
      <c r="J781">
        <f t="shared" si="38"/>
        <v>0</v>
      </c>
    </row>
    <row r="782" spans="1:10" hidden="1" x14ac:dyDescent="0.35">
      <c r="A782" t="s">
        <v>1585</v>
      </c>
      <c r="B782" t="s">
        <v>1586</v>
      </c>
      <c r="C782" t="s">
        <v>1508</v>
      </c>
      <c r="D782" t="s">
        <v>1514</v>
      </c>
      <c r="E782">
        <v>7</v>
      </c>
      <c r="F782">
        <v>79990</v>
      </c>
      <c r="G782">
        <f t="shared" si="37"/>
        <v>559930</v>
      </c>
      <c r="H782">
        <f t="shared" si="36"/>
        <v>-559923</v>
      </c>
      <c r="I782">
        <f>_xlfn.XLOOKUP(A782,'[1]Forecast 2026'!$A:$A,'[1]Forecast 2026'!$AJ:$AJ,"NA",0,1)</f>
        <v>7</v>
      </c>
      <c r="J782">
        <f t="shared" si="38"/>
        <v>0</v>
      </c>
    </row>
    <row r="783" spans="1:10" hidden="1" x14ac:dyDescent="0.35">
      <c r="A783" t="s">
        <v>1587</v>
      </c>
      <c r="B783" t="s">
        <v>1588</v>
      </c>
      <c r="C783" t="s">
        <v>1508</v>
      </c>
      <c r="D783" t="s">
        <v>1514</v>
      </c>
      <c r="E783">
        <v>2</v>
      </c>
      <c r="F783">
        <v>99990</v>
      </c>
      <c r="G783">
        <f t="shared" si="37"/>
        <v>199980</v>
      </c>
      <c r="H783">
        <f t="shared" si="36"/>
        <v>-199978</v>
      </c>
      <c r="I783">
        <f>_xlfn.XLOOKUP(A783,'[1]Forecast 2026'!$A:$A,'[1]Forecast 2026'!$AJ:$AJ,"NA",0,1)</f>
        <v>2</v>
      </c>
      <c r="J783">
        <f t="shared" si="38"/>
        <v>0</v>
      </c>
    </row>
    <row r="784" spans="1:10" hidden="1" x14ac:dyDescent="0.35">
      <c r="A784" t="s">
        <v>1589</v>
      </c>
      <c r="B784" t="s">
        <v>1590</v>
      </c>
      <c r="C784" t="s">
        <v>1508</v>
      </c>
      <c r="D784" t="s">
        <v>1514</v>
      </c>
      <c r="E784">
        <v>5</v>
      </c>
      <c r="F784">
        <v>99990</v>
      </c>
      <c r="G784">
        <f t="shared" si="37"/>
        <v>499950</v>
      </c>
      <c r="H784">
        <f t="shared" si="36"/>
        <v>-499945</v>
      </c>
      <c r="I784">
        <f>_xlfn.XLOOKUP(A784,'[1]Forecast 2026'!$A:$A,'[1]Forecast 2026'!$AJ:$AJ,"NA",0,1)</f>
        <v>5</v>
      </c>
      <c r="J784">
        <f t="shared" si="38"/>
        <v>0</v>
      </c>
    </row>
    <row r="785" spans="1:10" hidden="1" x14ac:dyDescent="0.35">
      <c r="A785" t="s">
        <v>1591</v>
      </c>
      <c r="B785" t="s">
        <v>1592</v>
      </c>
      <c r="C785" t="s">
        <v>1508</v>
      </c>
      <c r="D785" t="s">
        <v>1514</v>
      </c>
      <c r="E785">
        <v>0</v>
      </c>
      <c r="F785">
        <v>129990</v>
      </c>
      <c r="G785">
        <f t="shared" si="37"/>
        <v>0</v>
      </c>
      <c r="H785">
        <f t="shared" si="36"/>
        <v>0</v>
      </c>
      <c r="I785">
        <f>_xlfn.XLOOKUP(A785,'[1]Forecast 2026'!$A:$A,'[1]Forecast 2026'!$AJ:$AJ,"NA",0,1)</f>
        <v>0</v>
      </c>
      <c r="J785">
        <f t="shared" si="38"/>
        <v>0</v>
      </c>
    </row>
    <row r="786" spans="1:10" hidden="1" x14ac:dyDescent="0.35">
      <c r="A786" t="s">
        <v>1593</v>
      </c>
      <c r="B786" t="s">
        <v>1594</v>
      </c>
      <c r="C786" t="s">
        <v>1508</v>
      </c>
      <c r="D786" t="s">
        <v>1514</v>
      </c>
      <c r="E786">
        <v>0</v>
      </c>
      <c r="F786">
        <v>129990</v>
      </c>
      <c r="G786">
        <f t="shared" si="37"/>
        <v>0</v>
      </c>
      <c r="H786">
        <f t="shared" si="36"/>
        <v>0</v>
      </c>
      <c r="I786">
        <f>_xlfn.XLOOKUP(A786,'[1]Forecast 2026'!$A:$A,'[1]Forecast 2026'!$AJ:$AJ,"NA",0,1)</f>
        <v>0</v>
      </c>
      <c r="J786">
        <f t="shared" si="38"/>
        <v>0</v>
      </c>
    </row>
    <row r="787" spans="1:10" hidden="1" x14ac:dyDescent="0.35">
      <c r="A787" t="s">
        <v>1595</v>
      </c>
      <c r="B787" t="s">
        <v>1596</v>
      </c>
      <c r="C787" t="s">
        <v>1508</v>
      </c>
      <c r="D787" t="s">
        <v>1509</v>
      </c>
      <c r="E787">
        <v>0</v>
      </c>
      <c r="F787">
        <v>39990</v>
      </c>
      <c r="G787">
        <f t="shared" si="37"/>
        <v>0</v>
      </c>
      <c r="H787">
        <f t="shared" si="36"/>
        <v>0</v>
      </c>
      <c r="I787">
        <f>_xlfn.XLOOKUP(A787,'[1]Forecast 2026'!$A:$A,'[1]Forecast 2026'!$AJ:$AJ,"NA",0,1)</f>
        <v>0</v>
      </c>
      <c r="J787">
        <f t="shared" si="38"/>
        <v>0</v>
      </c>
    </row>
    <row r="788" spans="1:10" hidden="1" x14ac:dyDescent="0.35">
      <c r="A788" t="s">
        <v>1597</v>
      </c>
      <c r="B788" t="s">
        <v>1598</v>
      </c>
      <c r="C788" t="s">
        <v>1508</v>
      </c>
      <c r="D788" t="s">
        <v>1509</v>
      </c>
      <c r="E788">
        <v>0</v>
      </c>
      <c r="F788">
        <v>49990</v>
      </c>
      <c r="G788">
        <f t="shared" si="37"/>
        <v>0</v>
      </c>
      <c r="H788">
        <f t="shared" si="36"/>
        <v>0</v>
      </c>
      <c r="I788">
        <f>_xlfn.XLOOKUP(A788,'[1]Forecast 2026'!$A:$A,'[1]Forecast 2026'!$AJ:$AJ,"NA",0,1)</f>
        <v>0</v>
      </c>
      <c r="J788">
        <f t="shared" si="38"/>
        <v>0</v>
      </c>
    </row>
    <row r="789" spans="1:10" hidden="1" x14ac:dyDescent="0.35">
      <c r="A789" t="s">
        <v>1599</v>
      </c>
      <c r="B789" t="s">
        <v>1600</v>
      </c>
      <c r="C789" t="s">
        <v>1508</v>
      </c>
      <c r="D789" t="s">
        <v>1509</v>
      </c>
      <c r="E789">
        <v>0</v>
      </c>
      <c r="F789">
        <v>29990</v>
      </c>
      <c r="G789">
        <f t="shared" si="37"/>
        <v>0</v>
      </c>
      <c r="H789">
        <f t="shared" si="36"/>
        <v>0</v>
      </c>
      <c r="I789">
        <f>_xlfn.XLOOKUP(A789,'[1]Forecast 2026'!$A:$A,'[1]Forecast 2026'!$AJ:$AJ,"NA",0,1)</f>
        <v>0</v>
      </c>
      <c r="J789">
        <f t="shared" si="38"/>
        <v>0</v>
      </c>
    </row>
    <row r="790" spans="1:10" hidden="1" x14ac:dyDescent="0.35">
      <c r="A790" t="s">
        <v>1601</v>
      </c>
      <c r="B790" t="s">
        <v>1602</v>
      </c>
      <c r="C790" t="s">
        <v>1508</v>
      </c>
      <c r="D790" t="s">
        <v>1509</v>
      </c>
      <c r="E790">
        <v>0</v>
      </c>
      <c r="F790">
        <v>39990</v>
      </c>
      <c r="G790">
        <f t="shared" si="37"/>
        <v>0</v>
      </c>
      <c r="H790">
        <f t="shared" si="36"/>
        <v>0</v>
      </c>
      <c r="I790">
        <f>_xlfn.XLOOKUP(A790,'[1]Forecast 2026'!$A:$A,'[1]Forecast 2026'!$AJ:$AJ,"NA",0,1)</f>
        <v>0</v>
      </c>
      <c r="J790">
        <f t="shared" si="38"/>
        <v>0</v>
      </c>
    </row>
    <row r="791" spans="1:10" hidden="1" x14ac:dyDescent="0.35">
      <c r="A791" t="s">
        <v>1603</v>
      </c>
      <c r="B791" t="s">
        <v>1604</v>
      </c>
      <c r="C791" t="s">
        <v>1508</v>
      </c>
      <c r="D791" t="s">
        <v>1509</v>
      </c>
      <c r="E791">
        <v>0</v>
      </c>
      <c r="F791">
        <v>49990</v>
      </c>
      <c r="G791">
        <f t="shared" si="37"/>
        <v>0</v>
      </c>
      <c r="H791">
        <f t="shared" si="36"/>
        <v>0</v>
      </c>
      <c r="I791">
        <f>_xlfn.XLOOKUP(A791,'[1]Forecast 2026'!$A:$A,'[1]Forecast 2026'!$AJ:$AJ,"NA",0,1)</f>
        <v>0</v>
      </c>
      <c r="J791">
        <f t="shared" si="38"/>
        <v>0</v>
      </c>
    </row>
    <row r="792" spans="1:10" hidden="1" x14ac:dyDescent="0.35">
      <c r="A792" t="s">
        <v>1605</v>
      </c>
      <c r="B792" t="s">
        <v>1606</v>
      </c>
      <c r="C792" t="s">
        <v>1508</v>
      </c>
      <c r="D792" t="s">
        <v>1514</v>
      </c>
      <c r="E792">
        <v>1</v>
      </c>
      <c r="F792">
        <v>41990</v>
      </c>
      <c r="G792">
        <f t="shared" si="37"/>
        <v>41990</v>
      </c>
      <c r="H792">
        <f t="shared" si="36"/>
        <v>-41989</v>
      </c>
      <c r="I792">
        <f>_xlfn.XLOOKUP(A792,'[1]Forecast 2026'!$A:$A,'[1]Forecast 2026'!$AJ:$AJ,"NA",0,1)</f>
        <v>1</v>
      </c>
      <c r="J792">
        <f t="shared" si="38"/>
        <v>0</v>
      </c>
    </row>
    <row r="793" spans="1:10" hidden="1" x14ac:dyDescent="0.35">
      <c r="A793" t="s">
        <v>1607</v>
      </c>
      <c r="B793" t="s">
        <v>1608</v>
      </c>
      <c r="C793" t="s">
        <v>1508</v>
      </c>
      <c r="D793" t="s">
        <v>1514</v>
      </c>
      <c r="E793">
        <v>3</v>
      </c>
      <c r="F793">
        <v>24990</v>
      </c>
      <c r="G793">
        <f t="shared" si="37"/>
        <v>74970</v>
      </c>
      <c r="H793">
        <f t="shared" si="36"/>
        <v>-74967</v>
      </c>
      <c r="I793">
        <f>_xlfn.XLOOKUP(A793,'[1]Forecast 2026'!$A:$A,'[1]Forecast 2026'!$AJ:$AJ,"NA",0,1)</f>
        <v>3</v>
      </c>
      <c r="J793">
        <f t="shared" si="38"/>
        <v>0</v>
      </c>
    </row>
    <row r="794" spans="1:10" hidden="1" x14ac:dyDescent="0.35">
      <c r="A794" t="s">
        <v>1609</v>
      </c>
      <c r="B794" t="s">
        <v>1610</v>
      </c>
      <c r="C794" t="s">
        <v>1508</v>
      </c>
      <c r="D794" t="s">
        <v>1514</v>
      </c>
      <c r="E794">
        <v>17</v>
      </c>
      <c r="F794">
        <v>24990</v>
      </c>
      <c r="G794">
        <f t="shared" si="37"/>
        <v>424830</v>
      </c>
      <c r="H794">
        <f t="shared" si="36"/>
        <v>-424813</v>
      </c>
      <c r="I794">
        <f>_xlfn.XLOOKUP(A794,'[1]Forecast 2026'!$A:$A,'[1]Forecast 2026'!$AJ:$AJ,"NA",0,1)</f>
        <v>17</v>
      </c>
      <c r="J794">
        <f t="shared" si="38"/>
        <v>0</v>
      </c>
    </row>
    <row r="795" spans="1:10" hidden="1" x14ac:dyDescent="0.35">
      <c r="A795" t="s">
        <v>1611</v>
      </c>
      <c r="B795" t="s">
        <v>1612</v>
      </c>
      <c r="C795" t="s">
        <v>1508</v>
      </c>
      <c r="D795" t="s">
        <v>1514</v>
      </c>
      <c r="E795">
        <v>14</v>
      </c>
      <c r="F795">
        <v>24990</v>
      </c>
      <c r="G795">
        <f t="shared" si="37"/>
        <v>349860</v>
      </c>
      <c r="H795">
        <f t="shared" si="36"/>
        <v>-349846</v>
      </c>
      <c r="I795">
        <f>_xlfn.XLOOKUP(A795,'[1]Forecast 2026'!$A:$A,'[1]Forecast 2026'!$AJ:$AJ,"NA",0,1)</f>
        <v>14</v>
      </c>
      <c r="J795">
        <f t="shared" si="38"/>
        <v>0</v>
      </c>
    </row>
    <row r="796" spans="1:10" hidden="1" x14ac:dyDescent="0.35">
      <c r="A796" t="s">
        <v>1613</v>
      </c>
      <c r="B796" t="s">
        <v>1614</v>
      </c>
      <c r="C796" t="s">
        <v>1508</v>
      </c>
      <c r="D796" t="s">
        <v>1514</v>
      </c>
      <c r="E796">
        <v>1</v>
      </c>
      <c r="F796">
        <v>33990</v>
      </c>
      <c r="G796">
        <f t="shared" si="37"/>
        <v>33990</v>
      </c>
      <c r="H796">
        <f t="shared" si="36"/>
        <v>-33989</v>
      </c>
      <c r="I796">
        <f>_xlfn.XLOOKUP(A796,'[1]Forecast 2026'!$A:$A,'[1]Forecast 2026'!$AJ:$AJ,"NA",0,1)</f>
        <v>1</v>
      </c>
      <c r="J796">
        <f t="shared" si="38"/>
        <v>0</v>
      </c>
    </row>
    <row r="797" spans="1:10" hidden="1" x14ac:dyDescent="0.35">
      <c r="A797" t="s">
        <v>1615</v>
      </c>
      <c r="B797" t="s">
        <v>1616</v>
      </c>
      <c r="C797" t="s">
        <v>1508</v>
      </c>
      <c r="D797" t="s">
        <v>1514</v>
      </c>
      <c r="E797">
        <v>2</v>
      </c>
      <c r="F797">
        <v>49990</v>
      </c>
      <c r="G797">
        <f t="shared" si="37"/>
        <v>99980</v>
      </c>
      <c r="H797">
        <f t="shared" si="36"/>
        <v>-99978</v>
      </c>
      <c r="I797">
        <f>_xlfn.XLOOKUP(A797,'[1]Forecast 2026'!$A:$A,'[1]Forecast 2026'!$AJ:$AJ,"NA",0,1)</f>
        <v>2</v>
      </c>
      <c r="J797">
        <f t="shared" si="38"/>
        <v>0</v>
      </c>
    </row>
    <row r="798" spans="1:10" hidden="1" x14ac:dyDescent="0.35">
      <c r="A798" t="s">
        <v>1617</v>
      </c>
      <c r="B798" t="s">
        <v>1618</v>
      </c>
      <c r="C798" t="s">
        <v>1508</v>
      </c>
      <c r="D798" t="s">
        <v>1514</v>
      </c>
      <c r="E798">
        <v>2</v>
      </c>
      <c r="F798">
        <v>44990</v>
      </c>
      <c r="G798">
        <f t="shared" si="37"/>
        <v>89980</v>
      </c>
      <c r="H798">
        <f t="shared" si="36"/>
        <v>-89978</v>
      </c>
      <c r="I798">
        <f>_xlfn.XLOOKUP(A798,'[1]Forecast 2026'!$A:$A,'[1]Forecast 2026'!$AJ:$AJ,"NA",0,1)</f>
        <v>2</v>
      </c>
      <c r="J798">
        <f t="shared" si="38"/>
        <v>0</v>
      </c>
    </row>
    <row r="799" spans="1:10" hidden="1" x14ac:dyDescent="0.35">
      <c r="A799" t="s">
        <v>1619</v>
      </c>
      <c r="B799" t="s">
        <v>1620</v>
      </c>
      <c r="C799" t="s">
        <v>1508</v>
      </c>
      <c r="D799" t="s">
        <v>1514</v>
      </c>
      <c r="E799">
        <v>2</v>
      </c>
      <c r="F799">
        <v>44990</v>
      </c>
      <c r="G799">
        <f t="shared" si="37"/>
        <v>89980</v>
      </c>
      <c r="H799">
        <f t="shared" si="36"/>
        <v>-89978</v>
      </c>
      <c r="I799">
        <f>_xlfn.XLOOKUP(A799,'[1]Forecast 2026'!$A:$A,'[1]Forecast 2026'!$AJ:$AJ,"NA",0,1)</f>
        <v>2</v>
      </c>
      <c r="J799">
        <f t="shared" si="38"/>
        <v>0</v>
      </c>
    </row>
    <row r="800" spans="1:10" hidden="1" x14ac:dyDescent="0.35">
      <c r="A800" t="s">
        <v>1621</v>
      </c>
      <c r="B800" t="s">
        <v>1622</v>
      </c>
      <c r="C800" t="s">
        <v>1508</v>
      </c>
      <c r="D800" t="s">
        <v>1514</v>
      </c>
      <c r="E800">
        <v>2</v>
      </c>
      <c r="F800">
        <v>44990</v>
      </c>
      <c r="G800">
        <f t="shared" si="37"/>
        <v>89980</v>
      </c>
      <c r="H800">
        <f t="shared" si="36"/>
        <v>-89978</v>
      </c>
      <c r="I800">
        <f>_xlfn.XLOOKUP(A800,'[1]Forecast 2026'!$A:$A,'[1]Forecast 2026'!$AJ:$AJ,"NA",0,1)</f>
        <v>2</v>
      </c>
      <c r="J800">
        <f t="shared" si="38"/>
        <v>0</v>
      </c>
    </row>
    <row r="801" spans="1:10" hidden="1" x14ac:dyDescent="0.35">
      <c r="A801" t="s">
        <v>1623</v>
      </c>
      <c r="B801" t="s">
        <v>1624</v>
      </c>
      <c r="C801" t="s">
        <v>1508</v>
      </c>
      <c r="D801" t="s">
        <v>1514</v>
      </c>
      <c r="E801">
        <v>3</v>
      </c>
      <c r="F801">
        <v>45990</v>
      </c>
      <c r="G801">
        <f t="shared" si="37"/>
        <v>137970</v>
      </c>
      <c r="H801">
        <f t="shared" si="36"/>
        <v>-137967</v>
      </c>
      <c r="I801">
        <f>_xlfn.XLOOKUP(A801,'[1]Forecast 2026'!$A:$A,'[1]Forecast 2026'!$AJ:$AJ,"NA",0,1)</f>
        <v>3</v>
      </c>
      <c r="J801">
        <f t="shared" si="38"/>
        <v>0</v>
      </c>
    </row>
    <row r="802" spans="1:10" hidden="1" x14ac:dyDescent="0.35">
      <c r="A802" t="s">
        <v>1625</v>
      </c>
      <c r="B802" t="s">
        <v>1626</v>
      </c>
      <c r="C802" t="s">
        <v>1508</v>
      </c>
      <c r="D802" t="s">
        <v>1514</v>
      </c>
      <c r="E802">
        <v>1</v>
      </c>
      <c r="F802">
        <v>45990</v>
      </c>
      <c r="G802">
        <f t="shared" si="37"/>
        <v>45990</v>
      </c>
      <c r="H802">
        <f t="shared" si="36"/>
        <v>-45989</v>
      </c>
      <c r="I802">
        <f>_xlfn.XLOOKUP(A802,'[1]Forecast 2026'!$A:$A,'[1]Forecast 2026'!$AJ:$AJ,"NA",0,1)</f>
        <v>1</v>
      </c>
      <c r="J802">
        <f t="shared" si="38"/>
        <v>0</v>
      </c>
    </row>
    <row r="803" spans="1:10" hidden="1" x14ac:dyDescent="0.35">
      <c r="A803" t="s">
        <v>1627</v>
      </c>
      <c r="B803" t="s">
        <v>1628</v>
      </c>
      <c r="C803" t="s">
        <v>1508</v>
      </c>
      <c r="D803" t="s">
        <v>1514</v>
      </c>
      <c r="E803">
        <v>2</v>
      </c>
      <c r="F803">
        <v>39990</v>
      </c>
      <c r="G803">
        <f t="shared" si="37"/>
        <v>79980</v>
      </c>
      <c r="H803">
        <f t="shared" si="36"/>
        <v>-79978</v>
      </c>
      <c r="I803">
        <f>_xlfn.XLOOKUP(A803,'[1]Forecast 2026'!$A:$A,'[1]Forecast 2026'!$AJ:$AJ,"NA",0,1)</f>
        <v>2</v>
      </c>
      <c r="J803">
        <f t="shared" si="38"/>
        <v>0</v>
      </c>
    </row>
    <row r="804" spans="1:10" hidden="1" x14ac:dyDescent="0.35">
      <c r="A804" t="s">
        <v>1629</v>
      </c>
      <c r="B804" t="s">
        <v>1630</v>
      </c>
      <c r="C804" t="s">
        <v>1508</v>
      </c>
      <c r="D804" t="s">
        <v>1514</v>
      </c>
      <c r="E804">
        <v>4</v>
      </c>
      <c r="F804">
        <v>39990</v>
      </c>
      <c r="G804">
        <f t="shared" si="37"/>
        <v>159960</v>
      </c>
      <c r="H804">
        <f t="shared" si="36"/>
        <v>-159956</v>
      </c>
      <c r="I804">
        <f>_xlfn.XLOOKUP(A804,'[1]Forecast 2026'!$A:$A,'[1]Forecast 2026'!$AJ:$AJ,"NA",0,1)</f>
        <v>4</v>
      </c>
      <c r="J804">
        <f t="shared" si="38"/>
        <v>0</v>
      </c>
    </row>
    <row r="805" spans="1:10" hidden="1" x14ac:dyDescent="0.35">
      <c r="A805" t="s">
        <v>1631</v>
      </c>
      <c r="B805" t="s">
        <v>1632</v>
      </c>
      <c r="C805" t="s">
        <v>1508</v>
      </c>
      <c r="D805" t="s">
        <v>1514</v>
      </c>
      <c r="E805">
        <v>4</v>
      </c>
      <c r="F805">
        <v>56990</v>
      </c>
      <c r="G805">
        <f t="shared" si="37"/>
        <v>227960</v>
      </c>
      <c r="H805">
        <f t="shared" si="36"/>
        <v>-227956</v>
      </c>
      <c r="I805">
        <f>_xlfn.XLOOKUP(A805,'[1]Forecast 2026'!$A:$A,'[1]Forecast 2026'!$AJ:$AJ,"NA",0,1)</f>
        <v>4</v>
      </c>
      <c r="J805">
        <f t="shared" si="38"/>
        <v>0</v>
      </c>
    </row>
    <row r="806" spans="1:10" hidden="1" x14ac:dyDescent="0.35">
      <c r="A806" t="s">
        <v>1633</v>
      </c>
      <c r="B806" t="s">
        <v>1634</v>
      </c>
      <c r="C806" t="s">
        <v>1508</v>
      </c>
      <c r="D806" t="s">
        <v>1514</v>
      </c>
      <c r="E806">
        <v>1</v>
      </c>
      <c r="F806">
        <v>33990</v>
      </c>
      <c r="G806">
        <f t="shared" si="37"/>
        <v>33990</v>
      </c>
      <c r="H806">
        <f t="shared" si="36"/>
        <v>-33989</v>
      </c>
      <c r="I806">
        <f>_xlfn.XLOOKUP(A806,'[1]Forecast 2026'!$A:$A,'[1]Forecast 2026'!$AJ:$AJ,"NA",0,1)</f>
        <v>1</v>
      </c>
      <c r="J806">
        <f t="shared" si="38"/>
        <v>0</v>
      </c>
    </row>
    <row r="807" spans="1:10" hidden="1" x14ac:dyDescent="0.35">
      <c r="A807" t="s">
        <v>1635</v>
      </c>
      <c r="B807" t="s">
        <v>1636</v>
      </c>
      <c r="C807" t="s">
        <v>1508</v>
      </c>
      <c r="D807" t="s">
        <v>1514</v>
      </c>
      <c r="E807">
        <v>5</v>
      </c>
      <c r="F807">
        <v>33990</v>
      </c>
      <c r="G807">
        <f t="shared" si="37"/>
        <v>169950</v>
      </c>
      <c r="H807">
        <f t="shared" si="36"/>
        <v>-169945</v>
      </c>
      <c r="I807">
        <f>_xlfn.XLOOKUP(A807,'[1]Forecast 2026'!$A:$A,'[1]Forecast 2026'!$AJ:$AJ,"NA",0,1)</f>
        <v>5</v>
      </c>
      <c r="J807">
        <f t="shared" si="38"/>
        <v>0</v>
      </c>
    </row>
    <row r="808" spans="1:10" hidden="1" x14ac:dyDescent="0.35">
      <c r="A808" t="s">
        <v>1637</v>
      </c>
      <c r="B808" t="s">
        <v>1638</v>
      </c>
      <c r="C808" t="s">
        <v>1508</v>
      </c>
      <c r="D808" t="s">
        <v>1514</v>
      </c>
      <c r="E808">
        <v>3</v>
      </c>
      <c r="F808">
        <v>39990</v>
      </c>
      <c r="G808">
        <f t="shared" si="37"/>
        <v>119970</v>
      </c>
      <c r="H808">
        <f t="shared" si="36"/>
        <v>-119967</v>
      </c>
      <c r="I808">
        <f>_xlfn.XLOOKUP(A808,'[1]Forecast 2026'!$A:$A,'[1]Forecast 2026'!$AJ:$AJ,"NA",0,1)</f>
        <v>3</v>
      </c>
      <c r="J808">
        <f t="shared" si="38"/>
        <v>0</v>
      </c>
    </row>
    <row r="809" spans="1:10" hidden="1" x14ac:dyDescent="0.35">
      <c r="A809" t="s">
        <v>1639</v>
      </c>
      <c r="B809" t="s">
        <v>1640</v>
      </c>
      <c r="C809" t="s">
        <v>1508</v>
      </c>
      <c r="D809" t="s">
        <v>1514</v>
      </c>
      <c r="E809">
        <v>3</v>
      </c>
      <c r="F809">
        <v>34990</v>
      </c>
      <c r="G809">
        <f t="shared" si="37"/>
        <v>104970</v>
      </c>
      <c r="H809">
        <f t="shared" si="36"/>
        <v>-104967</v>
      </c>
      <c r="I809">
        <f>_xlfn.XLOOKUP(A809,'[1]Forecast 2026'!$A:$A,'[1]Forecast 2026'!$AJ:$AJ,"NA",0,1)</f>
        <v>3</v>
      </c>
      <c r="J809">
        <f t="shared" si="38"/>
        <v>0</v>
      </c>
    </row>
    <row r="810" spans="1:10" hidden="1" x14ac:dyDescent="0.35">
      <c r="A810" t="s">
        <v>1641</v>
      </c>
      <c r="B810" t="s">
        <v>1642</v>
      </c>
      <c r="C810" t="s">
        <v>1508</v>
      </c>
      <c r="D810" t="s">
        <v>1514</v>
      </c>
      <c r="E810">
        <v>4</v>
      </c>
      <c r="F810">
        <v>34990</v>
      </c>
      <c r="G810">
        <f t="shared" si="37"/>
        <v>139960</v>
      </c>
      <c r="H810">
        <f t="shared" si="36"/>
        <v>-139956</v>
      </c>
      <c r="I810">
        <f>_xlfn.XLOOKUP(A810,'[1]Forecast 2026'!$A:$A,'[1]Forecast 2026'!$AJ:$AJ,"NA",0,1)</f>
        <v>4</v>
      </c>
      <c r="J810">
        <f t="shared" si="38"/>
        <v>0</v>
      </c>
    </row>
    <row r="811" spans="1:10" hidden="1" x14ac:dyDescent="0.35">
      <c r="A811" t="s">
        <v>1643</v>
      </c>
      <c r="B811" t="s">
        <v>1644</v>
      </c>
      <c r="C811" t="s">
        <v>1508</v>
      </c>
      <c r="D811" t="s">
        <v>1514</v>
      </c>
      <c r="E811">
        <v>12</v>
      </c>
      <c r="F811">
        <v>34990</v>
      </c>
      <c r="G811">
        <f t="shared" si="37"/>
        <v>419880</v>
      </c>
      <c r="H811">
        <f t="shared" si="36"/>
        <v>-419868</v>
      </c>
      <c r="I811">
        <f>_xlfn.XLOOKUP(A811,'[1]Forecast 2026'!$A:$A,'[1]Forecast 2026'!$AJ:$AJ,"NA",0,1)</f>
        <v>12</v>
      </c>
      <c r="J811">
        <f t="shared" si="38"/>
        <v>0</v>
      </c>
    </row>
    <row r="812" spans="1:10" hidden="1" x14ac:dyDescent="0.35">
      <c r="A812" t="s">
        <v>1645</v>
      </c>
      <c r="B812" t="s">
        <v>1646</v>
      </c>
      <c r="C812" t="s">
        <v>1508</v>
      </c>
      <c r="D812" t="s">
        <v>1514</v>
      </c>
      <c r="E812">
        <v>5</v>
      </c>
      <c r="F812">
        <v>29990</v>
      </c>
      <c r="G812">
        <f t="shared" si="37"/>
        <v>149950</v>
      </c>
      <c r="H812">
        <f t="shared" si="36"/>
        <v>-149945</v>
      </c>
      <c r="I812">
        <f>_xlfn.XLOOKUP(A812,'[1]Forecast 2026'!$A:$A,'[1]Forecast 2026'!$AJ:$AJ,"NA",0,1)</f>
        <v>5</v>
      </c>
      <c r="J812">
        <f t="shared" si="38"/>
        <v>0</v>
      </c>
    </row>
    <row r="813" spans="1:10" hidden="1" x14ac:dyDescent="0.35">
      <c r="A813" t="s">
        <v>1647</v>
      </c>
      <c r="B813" t="s">
        <v>1648</v>
      </c>
      <c r="C813" t="s">
        <v>1508</v>
      </c>
      <c r="D813" t="s">
        <v>1514</v>
      </c>
      <c r="E813">
        <v>3</v>
      </c>
      <c r="F813">
        <v>45990</v>
      </c>
      <c r="G813">
        <f t="shared" si="37"/>
        <v>137970</v>
      </c>
      <c r="H813">
        <f t="shared" si="36"/>
        <v>-137967</v>
      </c>
      <c r="I813">
        <f>_xlfn.XLOOKUP(A813,'[1]Forecast 2026'!$A:$A,'[1]Forecast 2026'!$AJ:$AJ,"NA",0,1)</f>
        <v>3</v>
      </c>
      <c r="J813">
        <f t="shared" si="38"/>
        <v>0</v>
      </c>
    </row>
    <row r="814" spans="1:10" hidden="1" x14ac:dyDescent="0.35">
      <c r="A814" t="s">
        <v>1649</v>
      </c>
      <c r="B814" t="s">
        <v>1650</v>
      </c>
      <c r="C814" t="s">
        <v>1508</v>
      </c>
      <c r="D814" t="s">
        <v>1514</v>
      </c>
      <c r="E814">
        <v>3</v>
      </c>
      <c r="F814">
        <v>49990</v>
      </c>
      <c r="G814">
        <f t="shared" si="37"/>
        <v>149970</v>
      </c>
      <c r="H814">
        <f t="shared" si="36"/>
        <v>-149967</v>
      </c>
      <c r="I814">
        <f>_xlfn.XLOOKUP(A814,'[1]Forecast 2026'!$A:$A,'[1]Forecast 2026'!$AJ:$AJ,"NA",0,1)</f>
        <v>3</v>
      </c>
      <c r="J814">
        <f t="shared" si="38"/>
        <v>0</v>
      </c>
    </row>
    <row r="815" spans="1:10" hidden="1" x14ac:dyDescent="0.35">
      <c r="A815" t="s">
        <v>1651</v>
      </c>
      <c r="B815" t="s">
        <v>1652</v>
      </c>
      <c r="C815" t="s">
        <v>1508</v>
      </c>
      <c r="D815" t="s">
        <v>1514</v>
      </c>
      <c r="E815">
        <v>3</v>
      </c>
      <c r="F815">
        <v>52990</v>
      </c>
      <c r="G815">
        <f t="shared" si="37"/>
        <v>158970</v>
      </c>
      <c r="H815">
        <f t="shared" si="36"/>
        <v>-158967</v>
      </c>
      <c r="I815">
        <f>_xlfn.XLOOKUP(A815,'[1]Forecast 2026'!$A:$A,'[1]Forecast 2026'!$AJ:$AJ,"NA",0,1)</f>
        <v>3</v>
      </c>
      <c r="J815">
        <f t="shared" si="38"/>
        <v>0</v>
      </c>
    </row>
    <row r="816" spans="1:10" hidden="1" x14ac:dyDescent="0.35">
      <c r="A816" t="s">
        <v>1653</v>
      </c>
      <c r="B816" t="s">
        <v>1654</v>
      </c>
      <c r="C816" t="s">
        <v>1508</v>
      </c>
      <c r="D816" t="s">
        <v>1514</v>
      </c>
      <c r="E816">
        <v>2</v>
      </c>
      <c r="F816">
        <v>49990</v>
      </c>
      <c r="G816">
        <f t="shared" si="37"/>
        <v>99980</v>
      </c>
      <c r="H816">
        <f t="shared" si="36"/>
        <v>-99978</v>
      </c>
      <c r="I816">
        <f>_xlfn.XLOOKUP(A816,'[1]Forecast 2026'!$A:$A,'[1]Forecast 2026'!$AJ:$AJ,"NA",0,1)</f>
        <v>2</v>
      </c>
      <c r="J816">
        <f t="shared" si="38"/>
        <v>0</v>
      </c>
    </row>
    <row r="817" spans="1:10" hidden="1" x14ac:dyDescent="0.35">
      <c r="A817" t="s">
        <v>1655</v>
      </c>
      <c r="B817" t="s">
        <v>1656</v>
      </c>
      <c r="C817" t="s">
        <v>1508</v>
      </c>
      <c r="D817" t="s">
        <v>1514</v>
      </c>
      <c r="E817">
        <v>0</v>
      </c>
      <c r="F817">
        <v>41990</v>
      </c>
      <c r="G817">
        <f t="shared" si="37"/>
        <v>0</v>
      </c>
      <c r="H817">
        <f t="shared" si="36"/>
        <v>0</v>
      </c>
      <c r="I817">
        <f>_xlfn.XLOOKUP(A817,'[1]Forecast 2026'!$A:$A,'[1]Forecast 2026'!$AJ:$AJ,"NA",0,1)</f>
        <v>0</v>
      </c>
      <c r="J817">
        <f t="shared" si="38"/>
        <v>0</v>
      </c>
    </row>
    <row r="818" spans="1:10" hidden="1" x14ac:dyDescent="0.35">
      <c r="A818" t="s">
        <v>1657</v>
      </c>
      <c r="B818" t="s">
        <v>1658</v>
      </c>
      <c r="C818" t="s">
        <v>1508</v>
      </c>
      <c r="D818" t="s">
        <v>1514</v>
      </c>
      <c r="E818">
        <v>2</v>
      </c>
      <c r="F818">
        <v>29990</v>
      </c>
      <c r="G818">
        <f t="shared" si="37"/>
        <v>59980</v>
      </c>
      <c r="H818">
        <f t="shared" si="36"/>
        <v>-59978</v>
      </c>
      <c r="I818">
        <f>_xlfn.XLOOKUP(A818,'[1]Forecast 2026'!$A:$A,'[1]Forecast 2026'!$AJ:$AJ,"NA",0,1)</f>
        <v>2</v>
      </c>
      <c r="J818">
        <f t="shared" si="38"/>
        <v>0</v>
      </c>
    </row>
    <row r="819" spans="1:10" hidden="1" x14ac:dyDescent="0.35">
      <c r="A819" t="s">
        <v>1659</v>
      </c>
      <c r="B819" t="s">
        <v>1660</v>
      </c>
      <c r="C819" t="s">
        <v>1508</v>
      </c>
      <c r="D819" t="s">
        <v>1514</v>
      </c>
      <c r="E819">
        <v>7</v>
      </c>
      <c r="F819">
        <v>19980</v>
      </c>
      <c r="G819">
        <f t="shared" si="37"/>
        <v>139860</v>
      </c>
      <c r="H819">
        <f t="shared" si="36"/>
        <v>-139853</v>
      </c>
      <c r="I819">
        <f>_xlfn.XLOOKUP(A819,'[1]Forecast 2026'!$A:$A,'[1]Forecast 2026'!$AJ:$AJ,"NA",0,1)</f>
        <v>7</v>
      </c>
      <c r="J819">
        <f t="shared" si="38"/>
        <v>0</v>
      </c>
    </row>
    <row r="820" spans="1:10" hidden="1" x14ac:dyDescent="0.35">
      <c r="A820" t="s">
        <v>1661</v>
      </c>
      <c r="B820" t="s">
        <v>1662</v>
      </c>
      <c r="C820" t="s">
        <v>1508</v>
      </c>
      <c r="D820" t="s">
        <v>1514</v>
      </c>
      <c r="E820">
        <v>0</v>
      </c>
      <c r="F820">
        <v>19980</v>
      </c>
      <c r="G820">
        <f t="shared" si="37"/>
        <v>0</v>
      </c>
      <c r="H820">
        <f t="shared" si="36"/>
        <v>0</v>
      </c>
      <c r="I820">
        <f>_xlfn.XLOOKUP(A820,'[1]Forecast 2026'!$A:$A,'[1]Forecast 2026'!$AJ:$AJ,"NA",0,1)</f>
        <v>0</v>
      </c>
      <c r="J820">
        <f t="shared" si="38"/>
        <v>0</v>
      </c>
    </row>
    <row r="821" spans="1:10" hidden="1" x14ac:dyDescent="0.35">
      <c r="A821" t="s">
        <v>1663</v>
      </c>
      <c r="B821" t="s">
        <v>1664</v>
      </c>
      <c r="C821" t="s">
        <v>1508</v>
      </c>
      <c r="D821" t="s">
        <v>1514</v>
      </c>
      <c r="E821">
        <v>20</v>
      </c>
      <c r="F821">
        <v>21990</v>
      </c>
      <c r="G821">
        <f t="shared" si="37"/>
        <v>439800</v>
      </c>
      <c r="H821">
        <f t="shared" si="36"/>
        <v>-439780</v>
      </c>
      <c r="I821">
        <f>_xlfn.XLOOKUP(A821,'[1]Forecast 2026'!$A:$A,'[1]Forecast 2026'!$AJ:$AJ,"NA",0,1)</f>
        <v>20</v>
      </c>
      <c r="J821">
        <f t="shared" si="38"/>
        <v>0</v>
      </c>
    </row>
    <row r="822" spans="1:10" hidden="1" x14ac:dyDescent="0.35">
      <c r="A822" t="s">
        <v>1665</v>
      </c>
      <c r="B822" t="s">
        <v>1666</v>
      </c>
      <c r="C822" t="s">
        <v>1508</v>
      </c>
      <c r="D822" t="s">
        <v>1514</v>
      </c>
      <c r="E822">
        <v>0</v>
      </c>
      <c r="F822">
        <v>21990</v>
      </c>
      <c r="G822">
        <f t="shared" si="37"/>
        <v>0</v>
      </c>
      <c r="H822">
        <f t="shared" si="36"/>
        <v>0</v>
      </c>
      <c r="I822">
        <f>_xlfn.XLOOKUP(A822,'[1]Forecast 2026'!$A:$A,'[1]Forecast 2026'!$AJ:$AJ,"NA",0,1)</f>
        <v>0</v>
      </c>
      <c r="J822">
        <f t="shared" si="38"/>
        <v>0</v>
      </c>
    </row>
    <row r="823" spans="1:10" hidden="1" x14ac:dyDescent="0.35">
      <c r="A823" t="s">
        <v>1667</v>
      </c>
      <c r="B823" t="s">
        <v>1668</v>
      </c>
      <c r="C823" t="s">
        <v>1508</v>
      </c>
      <c r="D823" t="s">
        <v>1514</v>
      </c>
      <c r="E823">
        <v>14</v>
      </c>
      <c r="F823">
        <v>22990</v>
      </c>
      <c r="G823">
        <f t="shared" si="37"/>
        <v>321860</v>
      </c>
      <c r="H823">
        <f t="shared" si="36"/>
        <v>-321846</v>
      </c>
      <c r="I823">
        <f>_xlfn.XLOOKUP(A823,'[1]Forecast 2026'!$A:$A,'[1]Forecast 2026'!$AJ:$AJ,"NA",0,1)</f>
        <v>14</v>
      </c>
      <c r="J823">
        <f t="shared" si="38"/>
        <v>0</v>
      </c>
    </row>
    <row r="824" spans="1:10" hidden="1" x14ac:dyDescent="0.35">
      <c r="A824" t="s">
        <v>1669</v>
      </c>
      <c r="B824" t="s">
        <v>1670</v>
      </c>
      <c r="C824" t="s">
        <v>1508</v>
      </c>
      <c r="D824" t="s">
        <v>1514</v>
      </c>
      <c r="E824">
        <v>0</v>
      </c>
      <c r="F824">
        <v>22990</v>
      </c>
      <c r="G824">
        <f t="shared" si="37"/>
        <v>0</v>
      </c>
      <c r="H824">
        <f t="shared" si="36"/>
        <v>0</v>
      </c>
      <c r="I824">
        <f>_xlfn.XLOOKUP(A824,'[1]Forecast 2026'!$A:$A,'[1]Forecast 2026'!$AJ:$AJ,"NA",0,1)</f>
        <v>0</v>
      </c>
      <c r="J824">
        <f t="shared" si="38"/>
        <v>0</v>
      </c>
    </row>
    <row r="825" spans="1:10" hidden="1" x14ac:dyDescent="0.35">
      <c r="A825" t="s">
        <v>1671</v>
      </c>
      <c r="B825" t="s">
        <v>1672</v>
      </c>
      <c r="C825" t="s">
        <v>1508</v>
      </c>
      <c r="D825" t="s">
        <v>1514</v>
      </c>
      <c r="E825">
        <v>13</v>
      </c>
      <c r="F825">
        <v>24990</v>
      </c>
      <c r="G825">
        <f t="shared" si="37"/>
        <v>324870</v>
      </c>
      <c r="H825">
        <f t="shared" si="36"/>
        <v>-324857</v>
      </c>
      <c r="I825">
        <f>_xlfn.XLOOKUP(A825,'[1]Forecast 2026'!$A:$A,'[1]Forecast 2026'!$AJ:$AJ,"NA",0,1)</f>
        <v>13</v>
      </c>
      <c r="J825">
        <f t="shared" si="38"/>
        <v>0</v>
      </c>
    </row>
    <row r="826" spans="1:10" hidden="1" x14ac:dyDescent="0.35">
      <c r="A826" t="s">
        <v>1673</v>
      </c>
      <c r="B826" t="s">
        <v>1674</v>
      </c>
      <c r="C826" t="s">
        <v>1508</v>
      </c>
      <c r="D826" t="s">
        <v>1514</v>
      </c>
      <c r="E826">
        <v>0</v>
      </c>
      <c r="F826">
        <v>24990</v>
      </c>
      <c r="G826">
        <f t="shared" si="37"/>
        <v>0</v>
      </c>
      <c r="H826">
        <f t="shared" si="36"/>
        <v>0</v>
      </c>
      <c r="I826">
        <f>_xlfn.XLOOKUP(A826,'[1]Forecast 2026'!$A:$A,'[1]Forecast 2026'!$AJ:$AJ,"NA",0,1)</f>
        <v>0</v>
      </c>
      <c r="J826">
        <f t="shared" si="38"/>
        <v>0</v>
      </c>
    </row>
    <row r="827" spans="1:10" hidden="1" x14ac:dyDescent="0.35">
      <c r="A827" t="s">
        <v>1675</v>
      </c>
      <c r="B827" t="s">
        <v>1676</v>
      </c>
      <c r="C827" t="s">
        <v>1508</v>
      </c>
      <c r="D827" t="s">
        <v>1514</v>
      </c>
      <c r="E827">
        <v>11</v>
      </c>
      <c r="F827">
        <v>26990</v>
      </c>
      <c r="G827">
        <f t="shared" si="37"/>
        <v>296890</v>
      </c>
      <c r="H827">
        <f t="shared" si="36"/>
        <v>-296879</v>
      </c>
      <c r="I827">
        <f>_xlfn.XLOOKUP(A827,'[1]Forecast 2026'!$A:$A,'[1]Forecast 2026'!$AJ:$AJ,"NA",0,1)</f>
        <v>11</v>
      </c>
      <c r="J827">
        <f t="shared" si="38"/>
        <v>0</v>
      </c>
    </row>
    <row r="828" spans="1:10" hidden="1" x14ac:dyDescent="0.35">
      <c r="A828" t="s">
        <v>1677</v>
      </c>
      <c r="B828" t="s">
        <v>1678</v>
      </c>
      <c r="C828" t="s">
        <v>1508</v>
      </c>
      <c r="D828" t="s">
        <v>1514</v>
      </c>
      <c r="E828">
        <v>21</v>
      </c>
      <c r="F828">
        <v>26990</v>
      </c>
      <c r="G828">
        <f t="shared" si="37"/>
        <v>566790</v>
      </c>
      <c r="H828">
        <f t="shared" si="36"/>
        <v>-566769</v>
      </c>
      <c r="I828">
        <f>_xlfn.XLOOKUP(A828,'[1]Forecast 2026'!$A:$A,'[1]Forecast 2026'!$AJ:$AJ,"NA",0,1)</f>
        <v>21</v>
      </c>
      <c r="J828">
        <f t="shared" si="38"/>
        <v>0</v>
      </c>
    </row>
    <row r="829" spans="1:10" hidden="1" x14ac:dyDescent="0.35">
      <c r="A829" t="s">
        <v>1679</v>
      </c>
      <c r="B829" t="s">
        <v>1680</v>
      </c>
      <c r="C829" t="s">
        <v>1508</v>
      </c>
      <c r="D829" t="s">
        <v>1514</v>
      </c>
      <c r="E829">
        <v>0</v>
      </c>
      <c r="F829">
        <v>27990</v>
      </c>
      <c r="G829">
        <f t="shared" si="37"/>
        <v>0</v>
      </c>
      <c r="H829">
        <f t="shared" si="36"/>
        <v>0</v>
      </c>
      <c r="I829">
        <f>_xlfn.XLOOKUP(A829,'[1]Forecast 2026'!$A:$A,'[1]Forecast 2026'!$AJ:$AJ,"NA",0,1)</f>
        <v>0</v>
      </c>
      <c r="J829">
        <f t="shared" si="38"/>
        <v>0</v>
      </c>
    </row>
    <row r="830" spans="1:10" hidden="1" x14ac:dyDescent="0.35">
      <c r="A830" t="s">
        <v>1681</v>
      </c>
      <c r="B830" t="s">
        <v>1682</v>
      </c>
      <c r="C830" t="s">
        <v>1508</v>
      </c>
      <c r="D830" t="s">
        <v>1514</v>
      </c>
      <c r="E830">
        <v>0</v>
      </c>
      <c r="F830">
        <v>27990</v>
      </c>
      <c r="G830">
        <f t="shared" si="37"/>
        <v>0</v>
      </c>
      <c r="H830">
        <f t="shared" si="36"/>
        <v>0</v>
      </c>
      <c r="I830">
        <f>_xlfn.XLOOKUP(A830,'[1]Forecast 2026'!$A:$A,'[1]Forecast 2026'!$AJ:$AJ,"NA",0,1)</f>
        <v>0</v>
      </c>
      <c r="J830">
        <f t="shared" si="38"/>
        <v>0</v>
      </c>
    </row>
    <row r="831" spans="1:10" hidden="1" x14ac:dyDescent="0.35">
      <c r="A831" t="s">
        <v>1683</v>
      </c>
      <c r="B831" t="s">
        <v>1684</v>
      </c>
      <c r="C831" t="s">
        <v>1508</v>
      </c>
      <c r="D831" t="s">
        <v>1514</v>
      </c>
      <c r="E831">
        <v>0</v>
      </c>
      <c r="F831">
        <v>29990</v>
      </c>
      <c r="G831">
        <f t="shared" si="37"/>
        <v>0</v>
      </c>
      <c r="H831">
        <f t="shared" si="36"/>
        <v>0</v>
      </c>
      <c r="I831">
        <f>_xlfn.XLOOKUP(A831,'[1]Forecast 2026'!$A:$A,'[1]Forecast 2026'!$AJ:$AJ,"NA",0,1)</f>
        <v>0</v>
      </c>
      <c r="J831">
        <f t="shared" si="38"/>
        <v>0</v>
      </c>
    </row>
    <row r="832" spans="1:10" hidden="1" x14ac:dyDescent="0.35">
      <c r="A832" t="s">
        <v>1685</v>
      </c>
      <c r="B832" t="s">
        <v>1686</v>
      </c>
      <c r="C832" t="s">
        <v>1508</v>
      </c>
      <c r="D832" t="s">
        <v>1514</v>
      </c>
      <c r="E832">
        <v>0</v>
      </c>
      <c r="F832">
        <v>29990</v>
      </c>
      <c r="G832">
        <f t="shared" si="37"/>
        <v>0</v>
      </c>
      <c r="H832">
        <f t="shared" si="36"/>
        <v>0</v>
      </c>
      <c r="I832">
        <f>_xlfn.XLOOKUP(A832,'[1]Forecast 2026'!$A:$A,'[1]Forecast 2026'!$AJ:$AJ,"NA",0,1)</f>
        <v>0</v>
      </c>
      <c r="J832">
        <f t="shared" si="38"/>
        <v>0</v>
      </c>
    </row>
    <row r="833" spans="1:10" hidden="1" x14ac:dyDescent="0.35">
      <c r="A833" t="s">
        <v>1687</v>
      </c>
      <c r="B833" t="s">
        <v>1688</v>
      </c>
      <c r="C833" t="s">
        <v>1508</v>
      </c>
      <c r="D833" t="s">
        <v>1514</v>
      </c>
      <c r="E833">
        <v>0</v>
      </c>
      <c r="F833">
        <v>32990</v>
      </c>
      <c r="G833">
        <f t="shared" si="37"/>
        <v>0</v>
      </c>
      <c r="H833">
        <f t="shared" si="36"/>
        <v>0</v>
      </c>
      <c r="I833">
        <f>_xlfn.XLOOKUP(A833,'[1]Forecast 2026'!$A:$A,'[1]Forecast 2026'!$AJ:$AJ,"NA",0,1)</f>
        <v>0</v>
      </c>
      <c r="J833">
        <f t="shared" si="38"/>
        <v>0</v>
      </c>
    </row>
    <row r="834" spans="1:10" hidden="1" x14ac:dyDescent="0.35">
      <c r="A834" t="s">
        <v>1689</v>
      </c>
      <c r="B834" t="s">
        <v>1690</v>
      </c>
      <c r="C834" t="s">
        <v>1508</v>
      </c>
      <c r="D834" t="s">
        <v>1514</v>
      </c>
      <c r="E834">
        <v>0</v>
      </c>
      <c r="F834">
        <v>32990</v>
      </c>
      <c r="G834">
        <f t="shared" si="37"/>
        <v>0</v>
      </c>
      <c r="H834">
        <f t="shared" si="36"/>
        <v>0</v>
      </c>
      <c r="I834">
        <f>_xlfn.XLOOKUP(A834,'[1]Forecast 2026'!$A:$A,'[1]Forecast 2026'!$AJ:$AJ,"NA",0,1)</f>
        <v>0</v>
      </c>
      <c r="J834">
        <f t="shared" si="38"/>
        <v>0</v>
      </c>
    </row>
    <row r="835" spans="1:10" hidden="1" x14ac:dyDescent="0.35">
      <c r="A835" t="s">
        <v>1691</v>
      </c>
      <c r="B835" t="s">
        <v>1692</v>
      </c>
      <c r="C835" t="s">
        <v>1508</v>
      </c>
      <c r="D835" t="s">
        <v>1514</v>
      </c>
      <c r="E835">
        <v>3</v>
      </c>
      <c r="F835">
        <v>52990</v>
      </c>
      <c r="G835">
        <f t="shared" si="37"/>
        <v>158970</v>
      </c>
      <c r="H835">
        <f t="shared" ref="H835:H898" si="39">E835-G835</f>
        <v>-158967</v>
      </c>
      <c r="I835">
        <f>_xlfn.XLOOKUP(A835,'[1]Forecast 2026'!$A:$A,'[1]Forecast 2026'!$AJ:$AJ,"NA",0,1)</f>
        <v>3</v>
      </c>
      <c r="J835">
        <f t="shared" si="38"/>
        <v>0</v>
      </c>
    </row>
    <row r="836" spans="1:10" hidden="1" x14ac:dyDescent="0.35">
      <c r="A836" t="s">
        <v>1693</v>
      </c>
      <c r="B836" t="s">
        <v>1694</v>
      </c>
      <c r="C836" t="s">
        <v>1508</v>
      </c>
      <c r="D836" t="s">
        <v>1514</v>
      </c>
      <c r="E836">
        <v>5</v>
      </c>
      <c r="F836">
        <v>56990</v>
      </c>
      <c r="G836">
        <f t="shared" ref="G836:G899" si="40">F836*E836</f>
        <v>284950</v>
      </c>
      <c r="H836">
        <f t="shared" si="39"/>
        <v>-284945</v>
      </c>
      <c r="I836">
        <f>_xlfn.XLOOKUP(A836,'[1]Forecast 2026'!$A:$A,'[1]Forecast 2026'!$AJ:$AJ,"NA",0,1)</f>
        <v>5</v>
      </c>
      <c r="J836">
        <f t="shared" ref="J836:J899" si="41">IFERROR(E836-I836,"")</f>
        <v>0</v>
      </c>
    </row>
    <row r="837" spans="1:10" hidden="1" x14ac:dyDescent="0.35">
      <c r="A837" t="s">
        <v>1695</v>
      </c>
      <c r="B837" t="s">
        <v>1696</v>
      </c>
      <c r="C837" t="s">
        <v>1508</v>
      </c>
      <c r="D837" t="s">
        <v>1514</v>
      </c>
      <c r="E837">
        <v>1</v>
      </c>
      <c r="F837">
        <v>56990</v>
      </c>
      <c r="G837">
        <f t="shared" si="40"/>
        <v>56990</v>
      </c>
      <c r="H837">
        <f t="shared" si="39"/>
        <v>-56989</v>
      </c>
      <c r="I837">
        <f>_xlfn.XLOOKUP(A837,'[1]Forecast 2026'!$A:$A,'[1]Forecast 2026'!$AJ:$AJ,"NA",0,1)</f>
        <v>1</v>
      </c>
      <c r="J837">
        <f t="shared" si="41"/>
        <v>0</v>
      </c>
    </row>
    <row r="838" spans="1:10" hidden="1" x14ac:dyDescent="0.35">
      <c r="A838" t="s">
        <v>1697</v>
      </c>
      <c r="B838" t="s">
        <v>1698</v>
      </c>
      <c r="C838" t="s">
        <v>1508</v>
      </c>
      <c r="D838" t="s">
        <v>1514</v>
      </c>
      <c r="E838">
        <v>1</v>
      </c>
      <c r="F838">
        <v>29990</v>
      </c>
      <c r="G838">
        <f t="shared" si="40"/>
        <v>29990</v>
      </c>
      <c r="H838">
        <f t="shared" si="39"/>
        <v>-29989</v>
      </c>
      <c r="I838">
        <f>_xlfn.XLOOKUP(A838,'[1]Forecast 2026'!$A:$A,'[1]Forecast 2026'!$AJ:$AJ,"NA",0,1)</f>
        <v>1</v>
      </c>
      <c r="J838">
        <f t="shared" si="41"/>
        <v>0</v>
      </c>
    </row>
    <row r="839" spans="1:10" hidden="1" x14ac:dyDescent="0.35">
      <c r="A839" t="s">
        <v>1699</v>
      </c>
      <c r="B839" t="s">
        <v>1700</v>
      </c>
      <c r="C839" t="s">
        <v>1508</v>
      </c>
      <c r="D839" t="s">
        <v>1514</v>
      </c>
      <c r="E839">
        <v>8</v>
      </c>
      <c r="F839">
        <v>52990</v>
      </c>
      <c r="G839">
        <f t="shared" si="40"/>
        <v>423920</v>
      </c>
      <c r="H839">
        <f t="shared" si="39"/>
        <v>-423912</v>
      </c>
      <c r="I839">
        <f>_xlfn.XLOOKUP(A839,'[1]Forecast 2026'!$A:$A,'[1]Forecast 2026'!$AJ:$AJ,"NA",0,1)</f>
        <v>8</v>
      </c>
      <c r="J839">
        <f t="shared" si="41"/>
        <v>0</v>
      </c>
    </row>
    <row r="840" spans="1:10" hidden="1" x14ac:dyDescent="0.35">
      <c r="A840" t="s">
        <v>1701</v>
      </c>
      <c r="B840" t="s">
        <v>1702</v>
      </c>
      <c r="C840" t="s">
        <v>1508</v>
      </c>
      <c r="D840" t="s">
        <v>1514</v>
      </c>
      <c r="E840">
        <v>10</v>
      </c>
      <c r="F840">
        <v>7990</v>
      </c>
      <c r="G840">
        <f t="shared" si="40"/>
        <v>79900</v>
      </c>
      <c r="H840">
        <f t="shared" si="39"/>
        <v>-79890</v>
      </c>
      <c r="I840">
        <f>_xlfn.XLOOKUP(A840,'[1]Forecast 2026'!$A:$A,'[1]Forecast 2026'!$AJ:$AJ,"NA",0,1)</f>
        <v>10</v>
      </c>
      <c r="J840">
        <f t="shared" si="41"/>
        <v>0</v>
      </c>
    </row>
    <row r="841" spans="1:10" hidden="1" x14ac:dyDescent="0.35">
      <c r="A841" t="s">
        <v>1703</v>
      </c>
      <c r="B841" t="s">
        <v>1704</v>
      </c>
      <c r="C841" t="s">
        <v>1508</v>
      </c>
      <c r="D841" t="s">
        <v>1514</v>
      </c>
      <c r="E841">
        <v>15</v>
      </c>
      <c r="F841">
        <v>7990</v>
      </c>
      <c r="G841">
        <f t="shared" si="40"/>
        <v>119850</v>
      </c>
      <c r="H841">
        <f t="shared" si="39"/>
        <v>-119835</v>
      </c>
      <c r="I841">
        <f>_xlfn.XLOOKUP(A841,'[1]Forecast 2026'!$A:$A,'[1]Forecast 2026'!$AJ:$AJ,"NA",0,1)</f>
        <v>15</v>
      </c>
      <c r="J841">
        <f t="shared" si="41"/>
        <v>0</v>
      </c>
    </row>
    <row r="842" spans="1:10" hidden="1" x14ac:dyDescent="0.35">
      <c r="A842" t="s">
        <v>1705</v>
      </c>
      <c r="B842" t="s">
        <v>1706</v>
      </c>
      <c r="C842" t="s">
        <v>1508</v>
      </c>
      <c r="D842" t="s">
        <v>1509</v>
      </c>
      <c r="E842">
        <v>4</v>
      </c>
      <c r="F842">
        <v>129990</v>
      </c>
      <c r="G842">
        <f t="shared" si="40"/>
        <v>519960</v>
      </c>
      <c r="H842">
        <f t="shared" si="39"/>
        <v>-519956</v>
      </c>
      <c r="I842">
        <f>_xlfn.XLOOKUP(A842,'[1]Forecast 2026'!$A:$A,'[1]Forecast 2026'!$AJ:$AJ,"NA",0,1)</f>
        <v>4</v>
      </c>
      <c r="J842">
        <f t="shared" si="41"/>
        <v>0</v>
      </c>
    </row>
    <row r="843" spans="1:10" hidden="1" x14ac:dyDescent="0.35">
      <c r="A843" t="s">
        <v>1707</v>
      </c>
      <c r="B843" t="s">
        <v>1708</v>
      </c>
      <c r="C843" t="s">
        <v>1508</v>
      </c>
      <c r="D843" t="s">
        <v>1509</v>
      </c>
      <c r="E843">
        <v>2</v>
      </c>
      <c r="F843">
        <v>129990</v>
      </c>
      <c r="G843">
        <f t="shared" si="40"/>
        <v>259980</v>
      </c>
      <c r="H843">
        <f t="shared" si="39"/>
        <v>-259978</v>
      </c>
      <c r="I843">
        <f>_xlfn.XLOOKUP(A843,'[1]Forecast 2026'!$A:$A,'[1]Forecast 2026'!$AJ:$AJ,"NA",0,1)</f>
        <v>2</v>
      </c>
      <c r="J843">
        <f t="shared" si="41"/>
        <v>0</v>
      </c>
    </row>
    <row r="844" spans="1:10" hidden="1" x14ac:dyDescent="0.35">
      <c r="A844" t="s">
        <v>1709</v>
      </c>
      <c r="B844" t="s">
        <v>1710</v>
      </c>
      <c r="C844" t="s">
        <v>1508</v>
      </c>
      <c r="D844" t="s">
        <v>1509</v>
      </c>
      <c r="E844">
        <v>6</v>
      </c>
      <c r="F844">
        <v>189990</v>
      </c>
      <c r="G844">
        <f t="shared" si="40"/>
        <v>1139940</v>
      </c>
      <c r="H844">
        <f t="shared" si="39"/>
        <v>-1139934</v>
      </c>
      <c r="I844">
        <f>_xlfn.XLOOKUP(A844,'[1]Forecast 2026'!$A:$A,'[1]Forecast 2026'!$AJ:$AJ,"NA",0,1)</f>
        <v>6</v>
      </c>
      <c r="J844">
        <f t="shared" si="41"/>
        <v>0</v>
      </c>
    </row>
    <row r="845" spans="1:10" hidden="1" x14ac:dyDescent="0.35">
      <c r="A845" t="s">
        <v>1711</v>
      </c>
      <c r="B845" t="s">
        <v>1712</v>
      </c>
      <c r="C845" t="s">
        <v>1508</v>
      </c>
      <c r="D845" t="s">
        <v>1509</v>
      </c>
      <c r="E845">
        <v>12</v>
      </c>
      <c r="F845">
        <v>219990</v>
      </c>
      <c r="G845">
        <f t="shared" si="40"/>
        <v>2639880</v>
      </c>
      <c r="H845">
        <f t="shared" si="39"/>
        <v>-2639868</v>
      </c>
      <c r="I845">
        <f>_xlfn.XLOOKUP(A845,'[1]Forecast 2026'!$A:$A,'[1]Forecast 2026'!$AJ:$AJ,"NA",0,1)</f>
        <v>12</v>
      </c>
      <c r="J845">
        <f t="shared" si="41"/>
        <v>0</v>
      </c>
    </row>
    <row r="846" spans="1:10" hidden="1" x14ac:dyDescent="0.35">
      <c r="A846" t="s">
        <v>1713</v>
      </c>
      <c r="B846" t="s">
        <v>1714</v>
      </c>
      <c r="C846" t="s">
        <v>1508</v>
      </c>
      <c r="D846" t="s">
        <v>1509</v>
      </c>
      <c r="E846">
        <v>2</v>
      </c>
      <c r="F846">
        <v>219990</v>
      </c>
      <c r="G846">
        <f t="shared" si="40"/>
        <v>439980</v>
      </c>
      <c r="H846">
        <f t="shared" si="39"/>
        <v>-439978</v>
      </c>
      <c r="I846">
        <f>_xlfn.XLOOKUP(A846,'[1]Forecast 2026'!$A:$A,'[1]Forecast 2026'!$AJ:$AJ,"NA",0,1)</f>
        <v>2</v>
      </c>
      <c r="J846">
        <f t="shared" si="41"/>
        <v>0</v>
      </c>
    </row>
    <row r="847" spans="1:10" hidden="1" x14ac:dyDescent="0.35">
      <c r="A847" t="s">
        <v>1715</v>
      </c>
      <c r="B847" t="s">
        <v>1716</v>
      </c>
      <c r="C847" t="s">
        <v>1508</v>
      </c>
      <c r="D847" t="s">
        <v>48</v>
      </c>
      <c r="E847">
        <v>20</v>
      </c>
      <c r="F847">
        <v>199990</v>
      </c>
      <c r="G847">
        <f t="shared" si="40"/>
        <v>3999800</v>
      </c>
      <c r="H847">
        <f t="shared" si="39"/>
        <v>-3999780</v>
      </c>
      <c r="I847">
        <f>_xlfn.XLOOKUP(A847,'[1]Forecast 2026'!$A:$A,'[1]Forecast 2026'!$AJ:$AJ,"NA",0,1)</f>
        <v>20</v>
      </c>
      <c r="J847">
        <f t="shared" si="41"/>
        <v>0</v>
      </c>
    </row>
    <row r="848" spans="1:10" hidden="1" x14ac:dyDescent="0.35">
      <c r="A848" t="s">
        <v>1717</v>
      </c>
      <c r="B848" t="s">
        <v>1718</v>
      </c>
      <c r="C848" t="s">
        <v>1508</v>
      </c>
      <c r="D848" t="s">
        <v>1514</v>
      </c>
      <c r="E848">
        <v>16</v>
      </c>
      <c r="F848">
        <v>12990</v>
      </c>
      <c r="G848">
        <f t="shared" si="40"/>
        <v>207840</v>
      </c>
      <c r="H848">
        <f t="shared" si="39"/>
        <v>-207824</v>
      </c>
      <c r="I848">
        <f>_xlfn.XLOOKUP(A848,'[1]Forecast 2026'!$A:$A,'[1]Forecast 2026'!$AJ:$AJ,"NA",0,1)</f>
        <v>16</v>
      </c>
      <c r="J848">
        <f t="shared" si="41"/>
        <v>0</v>
      </c>
    </row>
    <row r="849" spans="1:10" hidden="1" x14ac:dyDescent="0.35">
      <c r="A849" t="s">
        <v>1719</v>
      </c>
      <c r="B849" t="s">
        <v>1720</v>
      </c>
      <c r="C849" t="s">
        <v>1508</v>
      </c>
      <c r="D849" t="s">
        <v>1514</v>
      </c>
      <c r="E849">
        <v>0</v>
      </c>
      <c r="F849">
        <v>12990</v>
      </c>
      <c r="G849">
        <f t="shared" si="40"/>
        <v>0</v>
      </c>
      <c r="H849">
        <f t="shared" si="39"/>
        <v>0</v>
      </c>
      <c r="I849">
        <f>_xlfn.XLOOKUP(A849,'[1]Forecast 2026'!$A:$A,'[1]Forecast 2026'!$AJ:$AJ,"NA",0,1)</f>
        <v>0</v>
      </c>
      <c r="J849">
        <f t="shared" si="41"/>
        <v>0</v>
      </c>
    </row>
    <row r="850" spans="1:10" hidden="1" x14ac:dyDescent="0.35">
      <c r="A850" t="s">
        <v>1721</v>
      </c>
      <c r="B850" t="s">
        <v>1722</v>
      </c>
      <c r="C850" t="s">
        <v>1508</v>
      </c>
      <c r="D850" t="s">
        <v>1514</v>
      </c>
      <c r="E850">
        <v>14</v>
      </c>
      <c r="F850">
        <v>12990</v>
      </c>
      <c r="G850">
        <f t="shared" si="40"/>
        <v>181860</v>
      </c>
      <c r="H850">
        <f t="shared" si="39"/>
        <v>-181846</v>
      </c>
      <c r="I850">
        <f>_xlfn.XLOOKUP(A850,'[1]Forecast 2026'!$A:$A,'[1]Forecast 2026'!$AJ:$AJ,"NA",0,1)</f>
        <v>14</v>
      </c>
      <c r="J850">
        <f t="shared" si="41"/>
        <v>0</v>
      </c>
    </row>
    <row r="851" spans="1:10" hidden="1" x14ac:dyDescent="0.35">
      <c r="A851" t="s">
        <v>1723</v>
      </c>
      <c r="B851" t="s">
        <v>1724</v>
      </c>
      <c r="C851" t="s">
        <v>1508</v>
      </c>
      <c r="D851" t="s">
        <v>1514</v>
      </c>
      <c r="E851">
        <v>15</v>
      </c>
      <c r="F851">
        <v>12990</v>
      </c>
      <c r="G851">
        <f t="shared" si="40"/>
        <v>194850</v>
      </c>
      <c r="H851">
        <f t="shared" si="39"/>
        <v>-194835</v>
      </c>
      <c r="I851">
        <f>_xlfn.XLOOKUP(A851,'[1]Forecast 2026'!$A:$A,'[1]Forecast 2026'!$AJ:$AJ,"NA",0,1)</f>
        <v>15</v>
      </c>
      <c r="J851">
        <f t="shared" si="41"/>
        <v>0</v>
      </c>
    </row>
    <row r="852" spans="1:10" hidden="1" x14ac:dyDescent="0.35">
      <c r="A852" t="s">
        <v>1725</v>
      </c>
      <c r="B852" t="s">
        <v>1726</v>
      </c>
      <c r="C852" t="s">
        <v>1508</v>
      </c>
      <c r="D852" t="s">
        <v>1514</v>
      </c>
      <c r="E852">
        <v>20</v>
      </c>
      <c r="F852">
        <v>18990</v>
      </c>
      <c r="G852">
        <f t="shared" si="40"/>
        <v>379800</v>
      </c>
      <c r="H852">
        <f t="shared" si="39"/>
        <v>-379780</v>
      </c>
      <c r="I852">
        <f>_xlfn.XLOOKUP(A852,'[1]Forecast 2026'!$A:$A,'[1]Forecast 2026'!$AJ:$AJ,"NA",0,1)</f>
        <v>20</v>
      </c>
      <c r="J852">
        <f t="shared" si="41"/>
        <v>0</v>
      </c>
    </row>
    <row r="853" spans="1:10" hidden="1" x14ac:dyDescent="0.35">
      <c r="A853" t="s">
        <v>1727</v>
      </c>
      <c r="B853" t="s">
        <v>1728</v>
      </c>
      <c r="C853" t="s">
        <v>1508</v>
      </c>
      <c r="D853" t="s">
        <v>1514</v>
      </c>
      <c r="E853">
        <v>30</v>
      </c>
      <c r="F853">
        <v>18990</v>
      </c>
      <c r="G853">
        <f t="shared" si="40"/>
        <v>569700</v>
      </c>
      <c r="H853">
        <f t="shared" si="39"/>
        <v>-569670</v>
      </c>
      <c r="I853">
        <f>_xlfn.XLOOKUP(A853,'[1]Forecast 2026'!$A:$A,'[1]Forecast 2026'!$AJ:$AJ,"NA",0,1)</f>
        <v>30</v>
      </c>
      <c r="J853">
        <f t="shared" si="41"/>
        <v>0</v>
      </c>
    </row>
    <row r="854" spans="1:10" hidden="1" x14ac:dyDescent="0.35">
      <c r="A854" t="s">
        <v>1729</v>
      </c>
      <c r="B854" t="s">
        <v>1730</v>
      </c>
      <c r="C854" t="s">
        <v>1508</v>
      </c>
      <c r="D854" t="s">
        <v>1514</v>
      </c>
      <c r="E854">
        <v>13</v>
      </c>
      <c r="F854">
        <v>18990</v>
      </c>
      <c r="G854">
        <f t="shared" si="40"/>
        <v>246870</v>
      </c>
      <c r="H854">
        <f t="shared" si="39"/>
        <v>-246857</v>
      </c>
      <c r="I854">
        <f>_xlfn.XLOOKUP(A854,'[1]Forecast 2026'!$A:$A,'[1]Forecast 2026'!$AJ:$AJ,"NA",0,1)</f>
        <v>13</v>
      </c>
      <c r="J854">
        <f t="shared" si="41"/>
        <v>0</v>
      </c>
    </row>
    <row r="855" spans="1:10" hidden="1" x14ac:dyDescent="0.35">
      <c r="A855" t="s">
        <v>1731</v>
      </c>
      <c r="B855" t="s">
        <v>1732</v>
      </c>
      <c r="C855" t="s">
        <v>1508</v>
      </c>
      <c r="D855" t="s">
        <v>1514</v>
      </c>
      <c r="E855">
        <v>10</v>
      </c>
      <c r="F855">
        <v>18990</v>
      </c>
      <c r="G855">
        <f t="shared" si="40"/>
        <v>189900</v>
      </c>
      <c r="H855">
        <f t="shared" si="39"/>
        <v>-189890</v>
      </c>
      <c r="I855">
        <f>_xlfn.XLOOKUP(A855,'[1]Forecast 2026'!$A:$A,'[1]Forecast 2026'!$AJ:$AJ,"NA",0,1)</f>
        <v>10</v>
      </c>
      <c r="J855">
        <f t="shared" si="41"/>
        <v>0</v>
      </c>
    </row>
    <row r="856" spans="1:10" hidden="1" x14ac:dyDescent="0.35">
      <c r="A856" t="s">
        <v>1733</v>
      </c>
      <c r="B856" t="s">
        <v>1734</v>
      </c>
      <c r="C856" t="s">
        <v>1508</v>
      </c>
      <c r="D856" t="s">
        <v>1509</v>
      </c>
      <c r="E856">
        <v>6</v>
      </c>
      <c r="F856">
        <v>329990</v>
      </c>
      <c r="G856">
        <f t="shared" si="40"/>
        <v>1979940</v>
      </c>
      <c r="H856">
        <f t="shared" si="39"/>
        <v>-1979934</v>
      </c>
      <c r="I856">
        <f>_xlfn.XLOOKUP(A856,'[1]Forecast 2026'!$A:$A,'[1]Forecast 2026'!$AJ:$AJ,"NA",0,1)</f>
        <v>6</v>
      </c>
      <c r="J856">
        <f t="shared" si="41"/>
        <v>0</v>
      </c>
    </row>
    <row r="857" spans="1:10" hidden="1" x14ac:dyDescent="0.35">
      <c r="A857" t="s">
        <v>1735</v>
      </c>
      <c r="B857" t="s">
        <v>1736</v>
      </c>
      <c r="C857" t="s">
        <v>1508</v>
      </c>
      <c r="D857" t="s">
        <v>48</v>
      </c>
      <c r="E857">
        <v>25</v>
      </c>
      <c r="F857">
        <v>199990</v>
      </c>
      <c r="G857">
        <f t="shared" si="40"/>
        <v>4999750</v>
      </c>
      <c r="H857">
        <f t="shared" si="39"/>
        <v>-4999725</v>
      </c>
      <c r="I857">
        <f>_xlfn.XLOOKUP(A857,'[1]Forecast 2026'!$A:$A,'[1]Forecast 2026'!$AJ:$AJ,"NA",0,1)</f>
        <v>25</v>
      </c>
      <c r="J857">
        <f t="shared" si="41"/>
        <v>0</v>
      </c>
    </row>
    <row r="858" spans="1:10" hidden="1" x14ac:dyDescent="0.35">
      <c r="A858" t="s">
        <v>1737</v>
      </c>
      <c r="B858" t="s">
        <v>1738</v>
      </c>
      <c r="C858" t="s">
        <v>1508</v>
      </c>
      <c r="D858" t="s">
        <v>1509</v>
      </c>
      <c r="E858">
        <v>0</v>
      </c>
      <c r="F858">
        <v>39990</v>
      </c>
      <c r="G858">
        <f t="shared" si="40"/>
        <v>0</v>
      </c>
      <c r="H858">
        <f t="shared" si="39"/>
        <v>0</v>
      </c>
      <c r="I858">
        <f>_xlfn.XLOOKUP(A858,'[1]Forecast 2026'!$A:$A,'[1]Forecast 2026'!$AJ:$AJ,"NA",0,1)</f>
        <v>0</v>
      </c>
      <c r="J858">
        <f t="shared" si="41"/>
        <v>0</v>
      </c>
    </row>
    <row r="859" spans="1:10" hidden="1" x14ac:dyDescent="0.35">
      <c r="A859" t="s">
        <v>1739</v>
      </c>
      <c r="B859" t="s">
        <v>1740</v>
      </c>
      <c r="C859" t="s">
        <v>1508</v>
      </c>
      <c r="D859" t="s">
        <v>1509</v>
      </c>
      <c r="E859">
        <v>0</v>
      </c>
      <c r="F859">
        <v>49990</v>
      </c>
      <c r="G859">
        <f t="shared" si="40"/>
        <v>0</v>
      </c>
      <c r="H859">
        <f t="shared" si="39"/>
        <v>0</v>
      </c>
      <c r="I859">
        <f>_xlfn.XLOOKUP(A859,'[1]Forecast 2026'!$A:$A,'[1]Forecast 2026'!$AJ:$AJ,"NA",0,1)</f>
        <v>0</v>
      </c>
      <c r="J859">
        <f t="shared" si="41"/>
        <v>0</v>
      </c>
    </row>
    <row r="860" spans="1:10" hidden="1" x14ac:dyDescent="0.35">
      <c r="A860" t="s">
        <v>1741</v>
      </c>
      <c r="B860" t="s">
        <v>1742</v>
      </c>
      <c r="C860" t="s">
        <v>1508</v>
      </c>
      <c r="D860" t="s">
        <v>1514</v>
      </c>
      <c r="E860">
        <v>1</v>
      </c>
      <c r="F860">
        <v>24990</v>
      </c>
      <c r="G860">
        <f t="shared" si="40"/>
        <v>24990</v>
      </c>
      <c r="H860">
        <f t="shared" si="39"/>
        <v>-24989</v>
      </c>
      <c r="I860">
        <f>_xlfn.XLOOKUP(A860,'[1]Forecast 2026'!$A:$A,'[1]Forecast 2026'!$AJ:$AJ,"NA",0,1)</f>
        <v>1</v>
      </c>
      <c r="J860">
        <f t="shared" si="41"/>
        <v>0</v>
      </c>
    </row>
    <row r="861" spans="1:10" hidden="1" x14ac:dyDescent="0.35">
      <c r="A861" t="s">
        <v>1743</v>
      </c>
      <c r="B861" t="s">
        <v>1744</v>
      </c>
      <c r="C861" t="s">
        <v>1508</v>
      </c>
      <c r="D861" t="s">
        <v>1514</v>
      </c>
      <c r="E861">
        <v>2</v>
      </c>
      <c r="F861">
        <v>24990</v>
      </c>
      <c r="G861">
        <f t="shared" si="40"/>
        <v>49980</v>
      </c>
      <c r="H861">
        <f t="shared" si="39"/>
        <v>-49978</v>
      </c>
      <c r="I861">
        <f>_xlfn.XLOOKUP(A861,'[1]Forecast 2026'!$A:$A,'[1]Forecast 2026'!$AJ:$AJ,"NA",0,1)</f>
        <v>2</v>
      </c>
      <c r="J861">
        <f t="shared" si="41"/>
        <v>0</v>
      </c>
    </row>
    <row r="862" spans="1:10" hidden="1" x14ac:dyDescent="0.35">
      <c r="A862" t="s">
        <v>1745</v>
      </c>
      <c r="B862" t="s">
        <v>1746</v>
      </c>
      <c r="C862" t="s">
        <v>1508</v>
      </c>
      <c r="D862" t="s">
        <v>1514</v>
      </c>
      <c r="E862">
        <v>3</v>
      </c>
      <c r="F862">
        <v>24990</v>
      </c>
      <c r="G862">
        <f t="shared" si="40"/>
        <v>74970</v>
      </c>
      <c r="H862">
        <f t="shared" si="39"/>
        <v>-74967</v>
      </c>
      <c r="I862">
        <f>_xlfn.XLOOKUP(A862,'[1]Forecast 2026'!$A:$A,'[1]Forecast 2026'!$AJ:$AJ,"NA",0,1)</f>
        <v>3</v>
      </c>
      <c r="J862">
        <f t="shared" si="41"/>
        <v>0</v>
      </c>
    </row>
    <row r="863" spans="1:10" hidden="1" x14ac:dyDescent="0.35">
      <c r="A863" t="s">
        <v>1747</v>
      </c>
      <c r="B863" t="s">
        <v>1748</v>
      </c>
      <c r="C863" t="s">
        <v>1508</v>
      </c>
      <c r="D863" t="s">
        <v>1514</v>
      </c>
      <c r="E863">
        <v>2</v>
      </c>
      <c r="F863">
        <v>24990</v>
      </c>
      <c r="G863">
        <f t="shared" si="40"/>
        <v>49980</v>
      </c>
      <c r="H863">
        <f t="shared" si="39"/>
        <v>-49978</v>
      </c>
      <c r="I863">
        <f>_xlfn.XLOOKUP(A863,'[1]Forecast 2026'!$A:$A,'[1]Forecast 2026'!$AJ:$AJ,"NA",0,1)</f>
        <v>2</v>
      </c>
      <c r="J863">
        <f t="shared" si="41"/>
        <v>0</v>
      </c>
    </row>
    <row r="864" spans="1:10" hidden="1" x14ac:dyDescent="0.35">
      <c r="A864" t="s">
        <v>1749</v>
      </c>
      <c r="B864" t="s">
        <v>1750</v>
      </c>
      <c r="C864" t="s">
        <v>1508</v>
      </c>
      <c r="D864" t="s">
        <v>1514</v>
      </c>
      <c r="E864">
        <v>2</v>
      </c>
      <c r="F864">
        <v>29990</v>
      </c>
      <c r="G864">
        <f t="shared" si="40"/>
        <v>59980</v>
      </c>
      <c r="H864">
        <f t="shared" si="39"/>
        <v>-59978</v>
      </c>
      <c r="I864">
        <f>_xlfn.XLOOKUP(A864,'[1]Forecast 2026'!$A:$A,'[1]Forecast 2026'!$AJ:$AJ,"NA",0,1)</f>
        <v>2</v>
      </c>
      <c r="J864">
        <f t="shared" si="41"/>
        <v>0</v>
      </c>
    </row>
    <row r="865" spans="1:10" hidden="1" x14ac:dyDescent="0.35">
      <c r="A865" t="s">
        <v>1751</v>
      </c>
      <c r="B865" t="s">
        <v>1752</v>
      </c>
      <c r="C865" t="s">
        <v>1508</v>
      </c>
      <c r="D865" t="s">
        <v>1514</v>
      </c>
      <c r="E865">
        <v>5</v>
      </c>
      <c r="F865">
        <v>29990</v>
      </c>
      <c r="G865">
        <f t="shared" si="40"/>
        <v>149950</v>
      </c>
      <c r="H865">
        <f t="shared" si="39"/>
        <v>-149945</v>
      </c>
      <c r="I865">
        <f>_xlfn.XLOOKUP(A865,'[1]Forecast 2026'!$A:$A,'[1]Forecast 2026'!$AJ:$AJ,"NA",0,1)</f>
        <v>5</v>
      </c>
      <c r="J865">
        <f t="shared" si="41"/>
        <v>0</v>
      </c>
    </row>
    <row r="866" spans="1:10" hidden="1" x14ac:dyDescent="0.35">
      <c r="A866" t="s">
        <v>1753</v>
      </c>
      <c r="B866" t="s">
        <v>1754</v>
      </c>
      <c r="C866" t="s">
        <v>1508</v>
      </c>
      <c r="D866" t="s">
        <v>1514</v>
      </c>
      <c r="E866">
        <v>3</v>
      </c>
      <c r="F866">
        <v>29990</v>
      </c>
      <c r="G866">
        <f t="shared" si="40"/>
        <v>89970</v>
      </c>
      <c r="H866">
        <f t="shared" si="39"/>
        <v>-89967</v>
      </c>
      <c r="I866">
        <f>_xlfn.XLOOKUP(A866,'[1]Forecast 2026'!$A:$A,'[1]Forecast 2026'!$AJ:$AJ,"NA",0,1)</f>
        <v>3</v>
      </c>
      <c r="J866">
        <f t="shared" si="41"/>
        <v>0</v>
      </c>
    </row>
    <row r="867" spans="1:10" hidden="1" x14ac:dyDescent="0.35">
      <c r="A867" t="s">
        <v>1755</v>
      </c>
      <c r="B867" t="s">
        <v>1756</v>
      </c>
      <c r="C867" t="s">
        <v>1508</v>
      </c>
      <c r="D867" t="s">
        <v>1514</v>
      </c>
      <c r="E867">
        <v>9</v>
      </c>
      <c r="F867">
        <v>29990</v>
      </c>
      <c r="G867">
        <f t="shared" si="40"/>
        <v>269910</v>
      </c>
      <c r="H867">
        <f t="shared" si="39"/>
        <v>-269901</v>
      </c>
      <c r="I867">
        <f>_xlfn.XLOOKUP(A867,'[1]Forecast 2026'!$A:$A,'[1]Forecast 2026'!$AJ:$AJ,"NA",0,1)</f>
        <v>9</v>
      </c>
      <c r="J867">
        <f t="shared" si="41"/>
        <v>0</v>
      </c>
    </row>
    <row r="868" spans="1:10" hidden="1" x14ac:dyDescent="0.35">
      <c r="A868" t="s">
        <v>1757</v>
      </c>
      <c r="B868" t="s">
        <v>1758</v>
      </c>
      <c r="C868" t="s">
        <v>1508</v>
      </c>
      <c r="D868" t="s">
        <v>1509</v>
      </c>
      <c r="E868">
        <v>13</v>
      </c>
      <c r="F868">
        <v>79990</v>
      </c>
      <c r="G868">
        <f t="shared" si="40"/>
        <v>1039870</v>
      </c>
      <c r="H868">
        <f t="shared" si="39"/>
        <v>-1039857</v>
      </c>
      <c r="I868">
        <f>_xlfn.XLOOKUP(A868,'[1]Forecast 2026'!$A:$A,'[1]Forecast 2026'!$AJ:$AJ,"NA",0,1)</f>
        <v>13</v>
      </c>
      <c r="J868">
        <f t="shared" si="41"/>
        <v>0</v>
      </c>
    </row>
    <row r="869" spans="1:10" hidden="1" x14ac:dyDescent="0.35">
      <c r="A869" t="s">
        <v>1759</v>
      </c>
      <c r="B869" t="s">
        <v>1760</v>
      </c>
      <c r="C869" t="s">
        <v>1508</v>
      </c>
      <c r="D869" t="s">
        <v>1509</v>
      </c>
      <c r="E869">
        <v>16</v>
      </c>
      <c r="F869">
        <v>79990</v>
      </c>
      <c r="G869">
        <f t="shared" si="40"/>
        <v>1279840</v>
      </c>
      <c r="H869">
        <f t="shared" si="39"/>
        <v>-1279824</v>
      </c>
      <c r="I869">
        <f>_xlfn.XLOOKUP(A869,'[1]Forecast 2026'!$A:$A,'[1]Forecast 2026'!$AJ:$AJ,"NA",0,1)</f>
        <v>16</v>
      </c>
      <c r="J869">
        <f t="shared" si="41"/>
        <v>0</v>
      </c>
    </row>
    <row r="870" spans="1:10" hidden="1" x14ac:dyDescent="0.35">
      <c r="A870" t="s">
        <v>1761</v>
      </c>
      <c r="B870" t="s">
        <v>1762</v>
      </c>
      <c r="C870" t="s">
        <v>1508</v>
      </c>
      <c r="D870" t="s">
        <v>1509</v>
      </c>
      <c r="E870">
        <v>5</v>
      </c>
      <c r="F870">
        <v>129990</v>
      </c>
      <c r="G870">
        <f t="shared" si="40"/>
        <v>649950</v>
      </c>
      <c r="H870">
        <f t="shared" si="39"/>
        <v>-649945</v>
      </c>
      <c r="I870">
        <f>_xlfn.XLOOKUP(A870,'[1]Forecast 2026'!$A:$A,'[1]Forecast 2026'!$AJ:$AJ,"NA",0,1)</f>
        <v>5</v>
      </c>
      <c r="J870">
        <f t="shared" si="41"/>
        <v>0</v>
      </c>
    </row>
    <row r="871" spans="1:10" hidden="1" x14ac:dyDescent="0.35">
      <c r="A871" t="s">
        <v>1763</v>
      </c>
      <c r="B871" t="s">
        <v>1764</v>
      </c>
      <c r="C871" t="s">
        <v>1508</v>
      </c>
      <c r="D871" t="s">
        <v>1509</v>
      </c>
      <c r="E871">
        <v>0</v>
      </c>
      <c r="F871">
        <v>649990</v>
      </c>
      <c r="G871">
        <f t="shared" si="40"/>
        <v>0</v>
      </c>
      <c r="H871">
        <f t="shared" si="39"/>
        <v>0</v>
      </c>
      <c r="I871">
        <f>_xlfn.XLOOKUP(A871,'[1]Forecast 2026'!$A:$A,'[1]Forecast 2026'!$AJ:$AJ,"NA",0,1)</f>
        <v>0</v>
      </c>
      <c r="J871">
        <f t="shared" si="41"/>
        <v>0</v>
      </c>
    </row>
    <row r="872" spans="1:10" hidden="1" x14ac:dyDescent="0.35">
      <c r="A872" t="s">
        <v>1765</v>
      </c>
      <c r="B872" t="s">
        <v>1766</v>
      </c>
      <c r="C872" t="s">
        <v>1508</v>
      </c>
      <c r="D872" t="s">
        <v>1509</v>
      </c>
      <c r="E872">
        <v>0</v>
      </c>
      <c r="F872">
        <v>799990</v>
      </c>
      <c r="G872">
        <f t="shared" si="40"/>
        <v>0</v>
      </c>
      <c r="H872">
        <f t="shared" si="39"/>
        <v>0</v>
      </c>
      <c r="I872">
        <f>_xlfn.XLOOKUP(A872,'[1]Forecast 2026'!$A:$A,'[1]Forecast 2026'!$AJ:$AJ,"NA",0,1)</f>
        <v>0</v>
      </c>
      <c r="J872">
        <f t="shared" si="41"/>
        <v>0</v>
      </c>
    </row>
    <row r="873" spans="1:10" hidden="1" x14ac:dyDescent="0.35">
      <c r="A873" t="s">
        <v>1767</v>
      </c>
      <c r="B873" t="s">
        <v>1768</v>
      </c>
      <c r="C873" t="s">
        <v>1508</v>
      </c>
      <c r="D873" t="s">
        <v>1509</v>
      </c>
      <c r="E873">
        <v>2</v>
      </c>
      <c r="F873">
        <v>1999990</v>
      </c>
      <c r="G873">
        <f t="shared" si="40"/>
        <v>3999980</v>
      </c>
      <c r="H873">
        <f t="shared" si="39"/>
        <v>-3999978</v>
      </c>
      <c r="I873">
        <f>_xlfn.XLOOKUP(A873,'[1]Forecast 2026'!$A:$A,'[1]Forecast 2026'!$AJ:$AJ,"NA",0,1)</f>
        <v>2</v>
      </c>
      <c r="J873">
        <f t="shared" si="41"/>
        <v>0</v>
      </c>
    </row>
    <row r="874" spans="1:10" hidden="1" x14ac:dyDescent="0.35">
      <c r="A874" t="s">
        <v>1769</v>
      </c>
      <c r="B874" t="s">
        <v>1770</v>
      </c>
      <c r="C874" t="s">
        <v>1508</v>
      </c>
      <c r="D874" t="s">
        <v>1509</v>
      </c>
      <c r="E874">
        <v>0</v>
      </c>
      <c r="F874">
        <v>0</v>
      </c>
      <c r="G874">
        <f t="shared" si="40"/>
        <v>0</v>
      </c>
      <c r="H874">
        <f t="shared" si="39"/>
        <v>0</v>
      </c>
      <c r="I874">
        <f>_xlfn.XLOOKUP(A874,'[1]Forecast 2026'!$A:$A,'[1]Forecast 2026'!$AJ:$AJ,"NA",0,1)</f>
        <v>0</v>
      </c>
      <c r="J874">
        <f t="shared" si="41"/>
        <v>0</v>
      </c>
    </row>
    <row r="875" spans="1:10" hidden="1" x14ac:dyDescent="0.35">
      <c r="A875" t="s">
        <v>1771</v>
      </c>
      <c r="B875" t="s">
        <v>1772</v>
      </c>
      <c r="C875" t="s">
        <v>1508</v>
      </c>
      <c r="D875" t="s">
        <v>1509</v>
      </c>
      <c r="E875">
        <v>0</v>
      </c>
      <c r="F875">
        <v>2999990</v>
      </c>
      <c r="G875">
        <f t="shared" si="40"/>
        <v>0</v>
      </c>
      <c r="H875">
        <f t="shared" si="39"/>
        <v>0</v>
      </c>
      <c r="I875">
        <f>_xlfn.XLOOKUP(A875,'[1]Forecast 2026'!$A:$A,'[1]Forecast 2026'!$AJ:$AJ,"NA",0,1)</f>
        <v>0</v>
      </c>
      <c r="J875">
        <f t="shared" si="41"/>
        <v>0</v>
      </c>
    </row>
    <row r="876" spans="1:10" hidden="1" x14ac:dyDescent="0.35">
      <c r="A876" t="s">
        <v>1773</v>
      </c>
      <c r="B876" t="s">
        <v>1774</v>
      </c>
      <c r="C876" t="s">
        <v>1508</v>
      </c>
      <c r="D876" t="s">
        <v>1509</v>
      </c>
      <c r="E876">
        <v>0</v>
      </c>
      <c r="F876">
        <v>0</v>
      </c>
      <c r="G876">
        <f t="shared" si="40"/>
        <v>0</v>
      </c>
      <c r="H876">
        <f t="shared" si="39"/>
        <v>0</v>
      </c>
      <c r="I876">
        <f>_xlfn.XLOOKUP(A876,'[1]Forecast 2026'!$A:$A,'[1]Forecast 2026'!$AJ:$AJ,"NA",0,1)</f>
        <v>0</v>
      </c>
      <c r="J876">
        <f t="shared" si="41"/>
        <v>0</v>
      </c>
    </row>
    <row r="877" spans="1:10" hidden="1" x14ac:dyDescent="0.35">
      <c r="A877" t="s">
        <v>1775</v>
      </c>
      <c r="B877" t="s">
        <v>1776</v>
      </c>
      <c r="C877" t="s">
        <v>1508</v>
      </c>
      <c r="D877" t="s">
        <v>1509</v>
      </c>
      <c r="E877">
        <v>2</v>
      </c>
      <c r="F877">
        <v>2499990</v>
      </c>
      <c r="G877">
        <f t="shared" si="40"/>
        <v>4999980</v>
      </c>
      <c r="H877">
        <f t="shared" si="39"/>
        <v>-4999978</v>
      </c>
      <c r="I877">
        <f>_xlfn.XLOOKUP(A877,'[1]Forecast 2026'!$A:$A,'[1]Forecast 2026'!$AJ:$AJ,"NA",0,1)</f>
        <v>2</v>
      </c>
      <c r="J877">
        <f t="shared" si="41"/>
        <v>0</v>
      </c>
    </row>
    <row r="878" spans="1:10" hidden="1" x14ac:dyDescent="0.35">
      <c r="A878" t="s">
        <v>1777</v>
      </c>
      <c r="B878" t="s">
        <v>1778</v>
      </c>
      <c r="C878" t="s">
        <v>1508</v>
      </c>
      <c r="D878" t="s">
        <v>1509</v>
      </c>
      <c r="E878">
        <v>0</v>
      </c>
      <c r="F878">
        <v>0</v>
      </c>
      <c r="G878">
        <f t="shared" si="40"/>
        <v>0</v>
      </c>
      <c r="H878">
        <f t="shared" si="39"/>
        <v>0</v>
      </c>
      <c r="I878">
        <f>_xlfn.XLOOKUP(A878,'[1]Forecast 2026'!$A:$A,'[1]Forecast 2026'!$AJ:$AJ,"NA",0,1)</f>
        <v>0</v>
      </c>
      <c r="J878">
        <f t="shared" si="41"/>
        <v>0</v>
      </c>
    </row>
    <row r="879" spans="1:10" hidden="1" x14ac:dyDescent="0.35">
      <c r="A879" t="s">
        <v>1779</v>
      </c>
      <c r="B879" t="s">
        <v>1780</v>
      </c>
      <c r="C879" t="s">
        <v>1508</v>
      </c>
      <c r="D879" t="s">
        <v>48</v>
      </c>
      <c r="E879">
        <v>17</v>
      </c>
      <c r="F879">
        <v>34990</v>
      </c>
      <c r="G879">
        <f t="shared" si="40"/>
        <v>594830</v>
      </c>
      <c r="H879">
        <f t="shared" si="39"/>
        <v>-594813</v>
      </c>
      <c r="I879">
        <f>_xlfn.XLOOKUP(A879,'[1]Forecast 2026'!$A:$A,'[1]Forecast 2026'!$AJ:$AJ,"NA",0,1)</f>
        <v>17</v>
      </c>
      <c r="J879">
        <f t="shared" si="41"/>
        <v>0</v>
      </c>
    </row>
    <row r="880" spans="1:10" hidden="1" x14ac:dyDescent="0.35">
      <c r="A880" t="s">
        <v>1781</v>
      </c>
      <c r="B880" t="s">
        <v>1782</v>
      </c>
      <c r="C880" t="s">
        <v>1508</v>
      </c>
      <c r="D880" t="s">
        <v>48</v>
      </c>
      <c r="E880">
        <v>20</v>
      </c>
      <c r="F880">
        <v>59990</v>
      </c>
      <c r="G880">
        <f t="shared" si="40"/>
        <v>1199800</v>
      </c>
      <c r="H880">
        <f t="shared" si="39"/>
        <v>-1199780</v>
      </c>
      <c r="I880">
        <f>_xlfn.XLOOKUP(A880,'[1]Forecast 2026'!$A:$A,'[1]Forecast 2026'!$AJ:$AJ,"NA",0,1)</f>
        <v>20</v>
      </c>
      <c r="J880">
        <f t="shared" si="41"/>
        <v>0</v>
      </c>
    </row>
    <row r="881" spans="1:10" hidden="1" x14ac:dyDescent="0.35">
      <c r="A881" t="s">
        <v>1783</v>
      </c>
      <c r="B881" t="s">
        <v>1784</v>
      </c>
      <c r="C881" t="s">
        <v>1508</v>
      </c>
      <c r="D881" t="s">
        <v>48</v>
      </c>
      <c r="E881">
        <v>10</v>
      </c>
      <c r="F881">
        <v>89990</v>
      </c>
      <c r="G881">
        <f t="shared" si="40"/>
        <v>899900</v>
      </c>
      <c r="H881">
        <f t="shared" si="39"/>
        <v>-899890</v>
      </c>
      <c r="I881">
        <f>_xlfn.XLOOKUP(A881,'[1]Forecast 2026'!$A:$A,'[1]Forecast 2026'!$AJ:$AJ,"NA",0,1)</f>
        <v>10</v>
      </c>
      <c r="J881">
        <f t="shared" si="41"/>
        <v>0</v>
      </c>
    </row>
    <row r="882" spans="1:10" hidden="1" x14ac:dyDescent="0.35">
      <c r="A882" t="s">
        <v>1785</v>
      </c>
      <c r="B882" t="s">
        <v>1786</v>
      </c>
      <c r="C882" t="s">
        <v>1508</v>
      </c>
      <c r="D882" t="s">
        <v>48</v>
      </c>
      <c r="E882">
        <v>30</v>
      </c>
      <c r="F882">
        <v>59990</v>
      </c>
      <c r="G882">
        <f t="shared" si="40"/>
        <v>1799700</v>
      </c>
      <c r="H882">
        <f t="shared" si="39"/>
        <v>-1799670</v>
      </c>
      <c r="I882">
        <f>_xlfn.XLOOKUP(A882,'[1]Forecast 2026'!$A:$A,'[1]Forecast 2026'!$AJ:$AJ,"NA",0,1)</f>
        <v>30</v>
      </c>
      <c r="J882">
        <f t="shared" si="41"/>
        <v>0</v>
      </c>
    </row>
    <row r="883" spans="1:10" hidden="1" x14ac:dyDescent="0.35">
      <c r="A883" t="s">
        <v>1787</v>
      </c>
      <c r="B883" t="s">
        <v>1788</v>
      </c>
      <c r="C883" t="s">
        <v>1508</v>
      </c>
      <c r="D883" t="s">
        <v>48</v>
      </c>
      <c r="E883">
        <v>0</v>
      </c>
      <c r="F883">
        <v>0</v>
      </c>
      <c r="G883">
        <f t="shared" si="40"/>
        <v>0</v>
      </c>
      <c r="H883">
        <f t="shared" si="39"/>
        <v>0</v>
      </c>
      <c r="I883">
        <f>_xlfn.XLOOKUP(A883,'[1]Forecast 2026'!$A:$A,'[1]Forecast 2026'!$AJ:$AJ,"NA",0,1)</f>
        <v>0</v>
      </c>
      <c r="J883">
        <f t="shared" si="41"/>
        <v>0</v>
      </c>
    </row>
    <row r="884" spans="1:10" hidden="1" x14ac:dyDescent="0.35">
      <c r="A884" t="s">
        <v>1789</v>
      </c>
      <c r="B884" t="s">
        <v>1790</v>
      </c>
      <c r="C884" t="s">
        <v>1508</v>
      </c>
      <c r="D884" t="s">
        <v>48</v>
      </c>
      <c r="E884">
        <v>11</v>
      </c>
      <c r="F884">
        <v>39990</v>
      </c>
      <c r="G884">
        <f t="shared" si="40"/>
        <v>439890</v>
      </c>
      <c r="H884">
        <f t="shared" si="39"/>
        <v>-439879</v>
      </c>
      <c r="I884">
        <f>_xlfn.XLOOKUP(A884,'[1]Forecast 2026'!$A:$A,'[1]Forecast 2026'!$AJ:$AJ,"NA",0,1)</f>
        <v>11</v>
      </c>
      <c r="J884">
        <f t="shared" si="41"/>
        <v>0</v>
      </c>
    </row>
    <row r="885" spans="1:10" hidden="1" x14ac:dyDescent="0.35">
      <c r="A885" t="s">
        <v>1791</v>
      </c>
      <c r="B885" t="s">
        <v>1792</v>
      </c>
      <c r="C885" t="s">
        <v>1508</v>
      </c>
      <c r="D885" t="s">
        <v>1509</v>
      </c>
      <c r="E885">
        <v>0</v>
      </c>
      <c r="F885">
        <v>39990</v>
      </c>
      <c r="G885">
        <f t="shared" si="40"/>
        <v>0</v>
      </c>
      <c r="H885">
        <f t="shared" si="39"/>
        <v>0</v>
      </c>
      <c r="I885">
        <f>_xlfn.XLOOKUP(A885,'[1]Forecast 2026'!$A:$A,'[1]Forecast 2026'!$AJ:$AJ,"NA",0,1)</f>
        <v>0</v>
      </c>
      <c r="J885">
        <f t="shared" si="41"/>
        <v>0</v>
      </c>
    </row>
    <row r="886" spans="1:10" hidden="1" x14ac:dyDescent="0.35">
      <c r="A886" t="s">
        <v>1793</v>
      </c>
      <c r="B886" t="s">
        <v>1794</v>
      </c>
      <c r="C886" t="s">
        <v>1508</v>
      </c>
      <c r="D886" t="s">
        <v>1509</v>
      </c>
      <c r="E886">
        <v>0</v>
      </c>
      <c r="F886">
        <v>0</v>
      </c>
      <c r="G886">
        <f t="shared" si="40"/>
        <v>0</v>
      </c>
      <c r="H886">
        <f t="shared" si="39"/>
        <v>0</v>
      </c>
      <c r="I886">
        <f>_xlfn.XLOOKUP(A886,'[1]Forecast 2026'!$A:$A,'[1]Forecast 2026'!$AJ:$AJ,"NA",0,1)</f>
        <v>0</v>
      </c>
      <c r="J886">
        <f t="shared" si="41"/>
        <v>0</v>
      </c>
    </row>
    <row r="887" spans="1:10" hidden="1" x14ac:dyDescent="0.35">
      <c r="A887" t="s">
        <v>1795</v>
      </c>
      <c r="B887" t="s">
        <v>1796</v>
      </c>
      <c r="C887" t="s">
        <v>1508</v>
      </c>
      <c r="D887" t="s">
        <v>1509</v>
      </c>
      <c r="E887">
        <v>0</v>
      </c>
      <c r="F887">
        <v>0</v>
      </c>
      <c r="G887">
        <f t="shared" si="40"/>
        <v>0</v>
      </c>
      <c r="H887">
        <f t="shared" si="39"/>
        <v>0</v>
      </c>
      <c r="I887">
        <f>_xlfn.XLOOKUP(A887,'[1]Forecast 2026'!$A:$A,'[1]Forecast 2026'!$AJ:$AJ,"NA",0,1)</f>
        <v>0</v>
      </c>
      <c r="J887">
        <f t="shared" si="41"/>
        <v>0</v>
      </c>
    </row>
    <row r="888" spans="1:10" hidden="1" x14ac:dyDescent="0.35">
      <c r="A888" t="s">
        <v>1797</v>
      </c>
      <c r="B888" t="s">
        <v>1798</v>
      </c>
      <c r="C888" t="s">
        <v>1508</v>
      </c>
      <c r="D888" t="s">
        <v>1509</v>
      </c>
      <c r="E888">
        <v>3</v>
      </c>
      <c r="F888">
        <v>199990</v>
      </c>
      <c r="G888">
        <f t="shared" si="40"/>
        <v>599970</v>
      </c>
      <c r="H888">
        <f t="shared" si="39"/>
        <v>-599967</v>
      </c>
      <c r="I888">
        <f>_xlfn.XLOOKUP(A888,'[1]Forecast 2026'!$A:$A,'[1]Forecast 2026'!$AJ:$AJ,"NA",0,1)</f>
        <v>3</v>
      </c>
      <c r="J888">
        <f t="shared" si="41"/>
        <v>0</v>
      </c>
    </row>
    <row r="889" spans="1:10" hidden="1" x14ac:dyDescent="0.35">
      <c r="A889" t="s">
        <v>1799</v>
      </c>
      <c r="B889" t="s">
        <v>1800</v>
      </c>
      <c r="C889" t="s">
        <v>1508</v>
      </c>
      <c r="D889" t="s">
        <v>1509</v>
      </c>
      <c r="E889">
        <v>5</v>
      </c>
      <c r="F889">
        <v>199990</v>
      </c>
      <c r="G889">
        <f t="shared" si="40"/>
        <v>999950</v>
      </c>
      <c r="H889">
        <f t="shared" si="39"/>
        <v>-999945</v>
      </c>
      <c r="I889">
        <f>_xlfn.XLOOKUP(A889,'[1]Forecast 2026'!$A:$A,'[1]Forecast 2026'!$AJ:$AJ,"NA",0,1)</f>
        <v>5</v>
      </c>
      <c r="J889">
        <f t="shared" si="41"/>
        <v>0</v>
      </c>
    </row>
    <row r="890" spans="1:10" hidden="1" x14ac:dyDescent="0.35">
      <c r="A890" t="s">
        <v>1801</v>
      </c>
      <c r="B890" t="s">
        <v>1802</v>
      </c>
      <c r="C890" t="s">
        <v>1508</v>
      </c>
      <c r="D890" t="s">
        <v>1509</v>
      </c>
      <c r="E890">
        <v>0</v>
      </c>
      <c r="F890">
        <v>0</v>
      </c>
      <c r="G890">
        <f t="shared" si="40"/>
        <v>0</v>
      </c>
      <c r="H890">
        <f t="shared" si="39"/>
        <v>0</v>
      </c>
      <c r="I890">
        <f>_xlfn.XLOOKUP(A890,'[1]Forecast 2026'!$A:$A,'[1]Forecast 2026'!$AJ:$AJ,"NA",0,1)</f>
        <v>0</v>
      </c>
      <c r="J890">
        <f t="shared" si="41"/>
        <v>0</v>
      </c>
    </row>
    <row r="891" spans="1:10" hidden="1" x14ac:dyDescent="0.35">
      <c r="A891" t="s">
        <v>1803</v>
      </c>
      <c r="B891" t="s">
        <v>1804</v>
      </c>
      <c r="C891" t="s">
        <v>1508</v>
      </c>
      <c r="D891" t="s">
        <v>1509</v>
      </c>
      <c r="E891">
        <v>0</v>
      </c>
      <c r="F891">
        <v>0</v>
      </c>
      <c r="G891">
        <f t="shared" si="40"/>
        <v>0</v>
      </c>
      <c r="H891">
        <f t="shared" si="39"/>
        <v>0</v>
      </c>
      <c r="I891">
        <f>_xlfn.XLOOKUP(A891,'[1]Forecast 2026'!$A:$A,'[1]Forecast 2026'!$AJ:$AJ,"NA",0,1)</f>
        <v>0</v>
      </c>
      <c r="J891">
        <f t="shared" si="41"/>
        <v>0</v>
      </c>
    </row>
    <row r="892" spans="1:10" hidden="1" x14ac:dyDescent="0.35">
      <c r="A892" t="s">
        <v>1805</v>
      </c>
      <c r="B892" t="s">
        <v>1806</v>
      </c>
      <c r="C892" t="s">
        <v>1508</v>
      </c>
      <c r="D892" t="s">
        <v>1509</v>
      </c>
      <c r="E892">
        <v>0</v>
      </c>
      <c r="F892">
        <v>0</v>
      </c>
      <c r="G892">
        <f t="shared" si="40"/>
        <v>0</v>
      </c>
      <c r="H892">
        <f t="shared" si="39"/>
        <v>0</v>
      </c>
      <c r="I892">
        <f>_xlfn.XLOOKUP(A892,'[1]Forecast 2026'!$A:$A,'[1]Forecast 2026'!$AJ:$AJ,"NA",0,1)</f>
        <v>0</v>
      </c>
      <c r="J892">
        <f t="shared" si="41"/>
        <v>0</v>
      </c>
    </row>
    <row r="893" spans="1:10" hidden="1" x14ac:dyDescent="0.35">
      <c r="A893" t="s">
        <v>1807</v>
      </c>
      <c r="B893" t="s">
        <v>1808</v>
      </c>
      <c r="C893" t="s">
        <v>1508</v>
      </c>
      <c r="D893" t="s">
        <v>1509</v>
      </c>
      <c r="E893">
        <v>0</v>
      </c>
      <c r="F893">
        <v>0</v>
      </c>
      <c r="G893">
        <f t="shared" si="40"/>
        <v>0</v>
      </c>
      <c r="H893">
        <f t="shared" si="39"/>
        <v>0</v>
      </c>
      <c r="I893">
        <f>_xlfn.XLOOKUP(A893,'[1]Forecast 2026'!$A:$A,'[1]Forecast 2026'!$AJ:$AJ,"NA",0,1)</f>
        <v>0</v>
      </c>
      <c r="J893">
        <f t="shared" si="41"/>
        <v>0</v>
      </c>
    </row>
    <row r="894" spans="1:10" hidden="1" x14ac:dyDescent="0.35">
      <c r="A894" t="s">
        <v>1809</v>
      </c>
      <c r="B894" t="s">
        <v>1810</v>
      </c>
      <c r="C894" t="s">
        <v>1508</v>
      </c>
      <c r="D894" t="s">
        <v>1509</v>
      </c>
      <c r="E894">
        <v>0</v>
      </c>
      <c r="F894">
        <v>0</v>
      </c>
      <c r="G894">
        <f t="shared" si="40"/>
        <v>0</v>
      </c>
      <c r="H894">
        <f t="shared" si="39"/>
        <v>0</v>
      </c>
      <c r="I894">
        <f>_xlfn.XLOOKUP(A894,'[1]Forecast 2026'!$A:$A,'[1]Forecast 2026'!$AJ:$AJ,"NA",0,1)</f>
        <v>0</v>
      </c>
      <c r="J894">
        <f t="shared" si="41"/>
        <v>0</v>
      </c>
    </row>
    <row r="895" spans="1:10" hidden="1" x14ac:dyDescent="0.35">
      <c r="A895" t="s">
        <v>1811</v>
      </c>
      <c r="B895" t="s">
        <v>1812</v>
      </c>
      <c r="C895" t="s">
        <v>1508</v>
      </c>
      <c r="D895" t="s">
        <v>1509</v>
      </c>
      <c r="E895">
        <v>43</v>
      </c>
      <c r="F895">
        <v>29990</v>
      </c>
      <c r="G895">
        <f t="shared" si="40"/>
        <v>1289570</v>
      </c>
      <c r="H895">
        <f t="shared" si="39"/>
        <v>-1289527</v>
      </c>
      <c r="I895">
        <f>_xlfn.XLOOKUP(A895,'[1]Forecast 2026'!$A:$A,'[1]Forecast 2026'!$AJ:$AJ,"NA",0,1)</f>
        <v>43</v>
      </c>
      <c r="J895">
        <f t="shared" si="41"/>
        <v>0</v>
      </c>
    </row>
    <row r="896" spans="1:10" hidden="1" x14ac:dyDescent="0.35">
      <c r="A896" t="s">
        <v>1813</v>
      </c>
      <c r="B896" t="s">
        <v>1814</v>
      </c>
      <c r="C896" t="s">
        <v>1508</v>
      </c>
      <c r="D896" t="s">
        <v>1509</v>
      </c>
      <c r="E896">
        <v>0</v>
      </c>
      <c r="F896">
        <v>29990</v>
      </c>
      <c r="G896">
        <f t="shared" si="40"/>
        <v>0</v>
      </c>
      <c r="H896">
        <f t="shared" si="39"/>
        <v>0</v>
      </c>
      <c r="I896">
        <f>_xlfn.XLOOKUP(A896,'[1]Forecast 2026'!$A:$A,'[1]Forecast 2026'!$AJ:$AJ,"NA",0,1)</f>
        <v>0</v>
      </c>
      <c r="J896">
        <f t="shared" si="41"/>
        <v>0</v>
      </c>
    </row>
    <row r="897" spans="1:10" hidden="1" x14ac:dyDescent="0.35">
      <c r="A897" t="s">
        <v>1815</v>
      </c>
      <c r="B897" t="s">
        <v>1816</v>
      </c>
      <c r="C897" t="s">
        <v>1508</v>
      </c>
      <c r="D897" t="s">
        <v>1509</v>
      </c>
      <c r="E897">
        <v>0</v>
      </c>
      <c r="F897">
        <v>459990</v>
      </c>
      <c r="G897">
        <f t="shared" si="40"/>
        <v>0</v>
      </c>
      <c r="H897">
        <f t="shared" si="39"/>
        <v>0</v>
      </c>
      <c r="I897">
        <f>_xlfn.XLOOKUP(A897,'[1]Forecast 2026'!$A:$A,'[1]Forecast 2026'!$AJ:$AJ,"NA",0,1)</f>
        <v>0</v>
      </c>
      <c r="J897">
        <f t="shared" si="41"/>
        <v>0</v>
      </c>
    </row>
    <row r="898" spans="1:10" hidden="1" x14ac:dyDescent="0.35">
      <c r="A898" t="s">
        <v>1817</v>
      </c>
      <c r="B898" t="s">
        <v>1818</v>
      </c>
      <c r="C898" t="s">
        <v>1508</v>
      </c>
      <c r="D898" t="s">
        <v>1509</v>
      </c>
      <c r="E898">
        <v>1</v>
      </c>
      <c r="F898">
        <v>559990</v>
      </c>
      <c r="G898">
        <f t="shared" si="40"/>
        <v>559990</v>
      </c>
      <c r="H898">
        <f t="shared" si="39"/>
        <v>-559989</v>
      </c>
      <c r="I898">
        <f>_xlfn.XLOOKUP(A898,'[1]Forecast 2026'!$A:$A,'[1]Forecast 2026'!$AJ:$AJ,"NA",0,1)</f>
        <v>1</v>
      </c>
      <c r="J898">
        <f t="shared" si="41"/>
        <v>0</v>
      </c>
    </row>
    <row r="899" spans="1:10" hidden="1" x14ac:dyDescent="0.35">
      <c r="A899" t="s">
        <v>1819</v>
      </c>
      <c r="B899" t="s">
        <v>1820</v>
      </c>
      <c r="C899" t="s">
        <v>1508</v>
      </c>
      <c r="D899" t="s">
        <v>1509</v>
      </c>
      <c r="E899">
        <v>0</v>
      </c>
      <c r="F899">
        <v>159990</v>
      </c>
      <c r="G899">
        <f t="shared" si="40"/>
        <v>0</v>
      </c>
      <c r="H899">
        <f t="shared" ref="H899:H962" si="42">E899-G899</f>
        <v>0</v>
      </c>
      <c r="I899">
        <f>_xlfn.XLOOKUP(A899,'[1]Forecast 2026'!$A:$A,'[1]Forecast 2026'!$AJ:$AJ,"NA",0,1)</f>
        <v>0</v>
      </c>
      <c r="J899">
        <f t="shared" si="41"/>
        <v>0</v>
      </c>
    </row>
    <row r="900" spans="1:10" hidden="1" x14ac:dyDescent="0.35">
      <c r="A900" t="s">
        <v>1821</v>
      </c>
      <c r="B900" t="s">
        <v>1822</v>
      </c>
      <c r="C900" t="s">
        <v>1508</v>
      </c>
      <c r="D900" t="s">
        <v>1509</v>
      </c>
      <c r="E900">
        <v>5</v>
      </c>
      <c r="F900">
        <v>329990</v>
      </c>
      <c r="G900">
        <f t="shared" ref="G900:G928" si="43">F900*E900</f>
        <v>1649950</v>
      </c>
      <c r="H900">
        <f t="shared" si="42"/>
        <v>-1649945</v>
      </c>
      <c r="I900">
        <f>_xlfn.XLOOKUP(A900,'[1]Forecast 2026'!$A:$A,'[1]Forecast 2026'!$AJ:$AJ,"NA",0,1)</f>
        <v>5</v>
      </c>
      <c r="J900">
        <f t="shared" ref="J900:J928" si="44">IFERROR(E900-I900,"")</f>
        <v>0</v>
      </c>
    </row>
    <row r="901" spans="1:10" hidden="1" x14ac:dyDescent="0.35">
      <c r="A901" t="s">
        <v>1823</v>
      </c>
      <c r="B901" t="s">
        <v>1824</v>
      </c>
      <c r="C901" t="s">
        <v>1508</v>
      </c>
      <c r="D901" t="s">
        <v>1509</v>
      </c>
      <c r="E901">
        <v>4</v>
      </c>
      <c r="F901">
        <v>329990</v>
      </c>
      <c r="G901">
        <f t="shared" si="43"/>
        <v>1319960</v>
      </c>
      <c r="H901">
        <f t="shared" si="42"/>
        <v>-1319956</v>
      </c>
      <c r="I901">
        <f>_xlfn.XLOOKUP(A901,'[1]Forecast 2026'!$A:$A,'[1]Forecast 2026'!$AJ:$AJ,"NA",0,1)</f>
        <v>4</v>
      </c>
      <c r="J901">
        <f t="shared" si="44"/>
        <v>0</v>
      </c>
    </row>
    <row r="902" spans="1:10" hidden="1" x14ac:dyDescent="0.35">
      <c r="A902" t="s">
        <v>1825</v>
      </c>
      <c r="B902" t="s">
        <v>1826</v>
      </c>
      <c r="C902" t="s">
        <v>1508</v>
      </c>
      <c r="D902" t="s">
        <v>1509</v>
      </c>
      <c r="E902">
        <v>0</v>
      </c>
      <c r="F902">
        <v>79990</v>
      </c>
      <c r="G902">
        <f t="shared" si="43"/>
        <v>0</v>
      </c>
      <c r="H902">
        <f t="shared" si="42"/>
        <v>0</v>
      </c>
      <c r="I902">
        <f>_xlfn.XLOOKUP(A902,'[1]Forecast 2026'!$A:$A,'[1]Forecast 2026'!$AJ:$AJ,"NA",0,1)</f>
        <v>0</v>
      </c>
      <c r="J902">
        <f t="shared" si="44"/>
        <v>0</v>
      </c>
    </row>
    <row r="903" spans="1:10" hidden="1" x14ac:dyDescent="0.35">
      <c r="A903" t="s">
        <v>1827</v>
      </c>
      <c r="B903" t="s">
        <v>1828</v>
      </c>
      <c r="C903" t="s">
        <v>1508</v>
      </c>
      <c r="D903" t="s">
        <v>1509</v>
      </c>
      <c r="E903">
        <v>10</v>
      </c>
      <c r="F903">
        <v>79990</v>
      </c>
      <c r="G903">
        <f t="shared" si="43"/>
        <v>799900</v>
      </c>
      <c r="H903">
        <f t="shared" si="42"/>
        <v>-799890</v>
      </c>
      <c r="I903">
        <f>_xlfn.XLOOKUP(A903,'[1]Forecast 2026'!$A:$A,'[1]Forecast 2026'!$AJ:$AJ,"NA",0,1)</f>
        <v>10</v>
      </c>
      <c r="J903">
        <f t="shared" si="44"/>
        <v>0</v>
      </c>
    </row>
    <row r="904" spans="1:10" hidden="1" x14ac:dyDescent="0.35">
      <c r="A904" t="s">
        <v>1829</v>
      </c>
      <c r="B904" t="s">
        <v>1830</v>
      </c>
      <c r="C904" t="s">
        <v>1508</v>
      </c>
      <c r="D904" t="s">
        <v>1509</v>
      </c>
      <c r="E904">
        <v>4</v>
      </c>
      <c r="F904">
        <v>99990</v>
      </c>
      <c r="G904">
        <f t="shared" si="43"/>
        <v>399960</v>
      </c>
      <c r="H904">
        <f t="shared" si="42"/>
        <v>-399956</v>
      </c>
      <c r="I904">
        <f>_xlfn.XLOOKUP(A904,'[1]Forecast 2026'!$A:$A,'[1]Forecast 2026'!$AJ:$AJ,"NA",0,1)</f>
        <v>4</v>
      </c>
      <c r="J904">
        <f t="shared" si="44"/>
        <v>0</v>
      </c>
    </row>
    <row r="905" spans="1:10" hidden="1" x14ac:dyDescent="0.35">
      <c r="A905" t="s">
        <v>1831</v>
      </c>
      <c r="B905" t="s">
        <v>1832</v>
      </c>
      <c r="C905" t="s">
        <v>1508</v>
      </c>
      <c r="D905" t="s">
        <v>1509</v>
      </c>
      <c r="E905">
        <v>5</v>
      </c>
      <c r="F905">
        <v>219990</v>
      </c>
      <c r="G905">
        <f t="shared" si="43"/>
        <v>1099950</v>
      </c>
      <c r="H905">
        <f t="shared" si="42"/>
        <v>-1099945</v>
      </c>
      <c r="I905">
        <f>_xlfn.XLOOKUP(A905,'[1]Forecast 2026'!$A:$A,'[1]Forecast 2026'!$AJ:$AJ,"NA",0,1)</f>
        <v>5</v>
      </c>
      <c r="J905">
        <f t="shared" si="44"/>
        <v>0</v>
      </c>
    </row>
    <row r="906" spans="1:10" hidden="1" x14ac:dyDescent="0.35">
      <c r="A906" t="s">
        <v>1833</v>
      </c>
      <c r="B906" t="s">
        <v>1834</v>
      </c>
      <c r="C906" t="s">
        <v>1508</v>
      </c>
      <c r="D906" t="s">
        <v>1509</v>
      </c>
      <c r="E906">
        <v>10</v>
      </c>
      <c r="F906">
        <v>189990</v>
      </c>
      <c r="G906">
        <f t="shared" si="43"/>
        <v>1899900</v>
      </c>
      <c r="H906">
        <f t="shared" si="42"/>
        <v>-1899890</v>
      </c>
      <c r="I906">
        <f>_xlfn.XLOOKUP(A906,'[1]Forecast 2026'!$A:$A,'[1]Forecast 2026'!$AJ:$AJ,"NA",0,1)</f>
        <v>10</v>
      </c>
      <c r="J906">
        <f t="shared" si="44"/>
        <v>0</v>
      </c>
    </row>
    <row r="907" spans="1:10" hidden="1" x14ac:dyDescent="0.35">
      <c r="A907" t="s">
        <v>1835</v>
      </c>
      <c r="B907" t="s">
        <v>1836</v>
      </c>
      <c r="C907" t="s">
        <v>1508</v>
      </c>
      <c r="D907" t="s">
        <v>1509</v>
      </c>
      <c r="E907">
        <v>6</v>
      </c>
      <c r="F907">
        <v>129990</v>
      </c>
      <c r="G907">
        <f t="shared" si="43"/>
        <v>779940</v>
      </c>
      <c r="H907">
        <f t="shared" si="42"/>
        <v>-779934</v>
      </c>
      <c r="I907">
        <f>_xlfn.XLOOKUP(A907,'[1]Forecast 2026'!$A:$A,'[1]Forecast 2026'!$AJ:$AJ,"NA",0,1)</f>
        <v>6</v>
      </c>
      <c r="J907">
        <f t="shared" si="44"/>
        <v>0</v>
      </c>
    </row>
    <row r="908" spans="1:10" hidden="1" x14ac:dyDescent="0.35">
      <c r="A908" t="s">
        <v>1837</v>
      </c>
      <c r="B908" t="s">
        <v>1838</v>
      </c>
      <c r="C908" t="s">
        <v>1508</v>
      </c>
      <c r="D908" t="s">
        <v>1509</v>
      </c>
      <c r="E908">
        <v>8</v>
      </c>
      <c r="F908">
        <v>99990</v>
      </c>
      <c r="G908">
        <f t="shared" si="43"/>
        <v>799920</v>
      </c>
      <c r="H908">
        <f t="shared" si="42"/>
        <v>-799912</v>
      </c>
      <c r="I908">
        <f>_xlfn.XLOOKUP(A908,'[1]Forecast 2026'!$A:$A,'[1]Forecast 2026'!$AJ:$AJ,"NA",0,1)</f>
        <v>8</v>
      </c>
      <c r="J908">
        <f t="shared" si="44"/>
        <v>0</v>
      </c>
    </row>
    <row r="909" spans="1:10" hidden="1" x14ac:dyDescent="0.35">
      <c r="A909" t="s">
        <v>1839</v>
      </c>
      <c r="B909" t="s">
        <v>1840</v>
      </c>
      <c r="C909" t="s">
        <v>1508</v>
      </c>
      <c r="D909" t="s">
        <v>14</v>
      </c>
      <c r="E909">
        <v>0</v>
      </c>
      <c r="F909">
        <v>99990</v>
      </c>
      <c r="G909">
        <f t="shared" si="43"/>
        <v>0</v>
      </c>
      <c r="H909">
        <f t="shared" si="42"/>
        <v>0</v>
      </c>
      <c r="I909">
        <f>_xlfn.XLOOKUP(A909,'[1]Forecast 2026'!$A:$A,'[1]Forecast 2026'!$AJ:$AJ,"NA",0,1)</f>
        <v>0</v>
      </c>
      <c r="J909">
        <f t="shared" si="44"/>
        <v>0</v>
      </c>
    </row>
    <row r="910" spans="1:10" hidden="1" x14ac:dyDescent="0.35">
      <c r="A910" t="s">
        <v>1841</v>
      </c>
      <c r="B910" t="s">
        <v>1842</v>
      </c>
      <c r="C910" t="s">
        <v>1508</v>
      </c>
      <c r="D910" t="s">
        <v>14</v>
      </c>
      <c r="E910">
        <v>6</v>
      </c>
      <c r="F910">
        <v>89990</v>
      </c>
      <c r="G910">
        <f t="shared" si="43"/>
        <v>539940</v>
      </c>
      <c r="H910">
        <f t="shared" si="42"/>
        <v>-539934</v>
      </c>
      <c r="I910">
        <f>_xlfn.XLOOKUP(A910,'[1]Forecast 2026'!$A:$A,'[1]Forecast 2026'!$AJ:$AJ,"NA",0,1)</f>
        <v>6</v>
      </c>
      <c r="J910">
        <f t="shared" si="44"/>
        <v>0</v>
      </c>
    </row>
    <row r="911" spans="1:10" hidden="1" x14ac:dyDescent="0.35">
      <c r="A911" t="s">
        <v>1843</v>
      </c>
      <c r="B911" t="s">
        <v>1844</v>
      </c>
      <c r="C911" t="s">
        <v>1508</v>
      </c>
      <c r="D911" t="s">
        <v>14</v>
      </c>
      <c r="E911">
        <v>0</v>
      </c>
      <c r="F911">
        <v>119990</v>
      </c>
      <c r="G911">
        <f t="shared" si="43"/>
        <v>0</v>
      </c>
      <c r="H911">
        <f t="shared" si="42"/>
        <v>0</v>
      </c>
      <c r="I911">
        <f>_xlfn.XLOOKUP(A911,'[1]Forecast 2026'!$A:$A,'[1]Forecast 2026'!$AJ:$AJ,"NA",0,1)</f>
        <v>0</v>
      </c>
      <c r="J911">
        <f t="shared" si="44"/>
        <v>0</v>
      </c>
    </row>
    <row r="912" spans="1:10" hidden="1" x14ac:dyDescent="0.35">
      <c r="A912" t="s">
        <v>1845</v>
      </c>
      <c r="B912" t="s">
        <v>1846</v>
      </c>
      <c r="C912" t="s">
        <v>1508</v>
      </c>
      <c r="D912" t="s">
        <v>14</v>
      </c>
      <c r="E912">
        <v>0</v>
      </c>
      <c r="F912">
        <v>99990</v>
      </c>
      <c r="G912">
        <f t="shared" si="43"/>
        <v>0</v>
      </c>
      <c r="H912">
        <f t="shared" si="42"/>
        <v>0</v>
      </c>
      <c r="I912">
        <f>_xlfn.XLOOKUP(A912,'[1]Forecast 2026'!$A:$A,'[1]Forecast 2026'!$AJ:$AJ,"NA",0,1)</f>
        <v>0</v>
      </c>
      <c r="J912">
        <f t="shared" si="44"/>
        <v>0</v>
      </c>
    </row>
    <row r="913" spans="1:10" hidden="1" x14ac:dyDescent="0.35">
      <c r="A913" t="s">
        <v>1847</v>
      </c>
      <c r="B913" t="s">
        <v>1848</v>
      </c>
      <c r="C913" t="s">
        <v>1508</v>
      </c>
      <c r="D913" t="s">
        <v>14</v>
      </c>
      <c r="E913">
        <v>11</v>
      </c>
      <c r="F913">
        <v>109990</v>
      </c>
      <c r="G913">
        <f t="shared" si="43"/>
        <v>1209890</v>
      </c>
      <c r="H913">
        <f t="shared" si="42"/>
        <v>-1209879</v>
      </c>
      <c r="I913">
        <f>_xlfn.XLOOKUP(A913,'[1]Forecast 2026'!$A:$A,'[1]Forecast 2026'!$AJ:$AJ,"NA",0,1)</f>
        <v>11</v>
      </c>
      <c r="J913">
        <f t="shared" si="44"/>
        <v>0</v>
      </c>
    </row>
    <row r="914" spans="1:10" hidden="1" x14ac:dyDescent="0.35">
      <c r="A914" t="s">
        <v>1849</v>
      </c>
      <c r="B914" t="s">
        <v>1850</v>
      </c>
      <c r="C914" t="s">
        <v>1508</v>
      </c>
      <c r="D914" t="s">
        <v>14</v>
      </c>
      <c r="E914">
        <v>10</v>
      </c>
      <c r="F914">
        <v>129990</v>
      </c>
      <c r="G914">
        <f t="shared" si="43"/>
        <v>1299900</v>
      </c>
      <c r="H914">
        <f t="shared" si="42"/>
        <v>-1299890</v>
      </c>
      <c r="I914">
        <f>_xlfn.XLOOKUP(A914,'[1]Forecast 2026'!$A:$A,'[1]Forecast 2026'!$AJ:$AJ,"NA",0,1)</f>
        <v>10</v>
      </c>
      <c r="J914">
        <f t="shared" si="44"/>
        <v>0</v>
      </c>
    </row>
    <row r="915" spans="1:10" hidden="1" x14ac:dyDescent="0.35">
      <c r="A915" t="s">
        <v>1851</v>
      </c>
      <c r="B915" t="s">
        <v>1852</v>
      </c>
      <c r="C915" t="s">
        <v>1508</v>
      </c>
      <c r="D915" t="s">
        <v>14</v>
      </c>
      <c r="E915">
        <v>10</v>
      </c>
      <c r="F915">
        <v>19980</v>
      </c>
      <c r="G915">
        <f t="shared" si="43"/>
        <v>199800</v>
      </c>
      <c r="H915">
        <f t="shared" si="42"/>
        <v>-199790</v>
      </c>
      <c r="I915">
        <f>_xlfn.XLOOKUP(A915,'[1]Forecast 2026'!$A:$A,'[1]Forecast 2026'!$AJ:$AJ,"NA",0,1)</f>
        <v>10</v>
      </c>
      <c r="J915">
        <f t="shared" si="44"/>
        <v>0</v>
      </c>
    </row>
    <row r="916" spans="1:10" hidden="1" x14ac:dyDescent="0.35">
      <c r="A916" t="s">
        <v>1853</v>
      </c>
      <c r="B916" t="s">
        <v>1854</v>
      </c>
      <c r="C916" t="s">
        <v>1508</v>
      </c>
      <c r="D916" t="s">
        <v>14</v>
      </c>
      <c r="E916">
        <v>7</v>
      </c>
      <c r="F916">
        <v>19980</v>
      </c>
      <c r="G916">
        <f t="shared" si="43"/>
        <v>139860</v>
      </c>
      <c r="H916">
        <f t="shared" si="42"/>
        <v>-139853</v>
      </c>
      <c r="I916">
        <f>_xlfn.XLOOKUP(A916,'[1]Forecast 2026'!$A:$A,'[1]Forecast 2026'!$AJ:$AJ,"NA",0,1)</f>
        <v>7</v>
      </c>
      <c r="J916">
        <f t="shared" si="44"/>
        <v>0</v>
      </c>
    </row>
    <row r="917" spans="1:10" hidden="1" x14ac:dyDescent="0.35">
      <c r="A917" t="s">
        <v>1855</v>
      </c>
      <c r="B917" t="s">
        <v>1856</v>
      </c>
      <c r="C917" t="s">
        <v>1508</v>
      </c>
      <c r="D917" t="s">
        <v>14</v>
      </c>
      <c r="E917">
        <v>3</v>
      </c>
      <c r="F917">
        <v>19980</v>
      </c>
      <c r="G917">
        <f t="shared" si="43"/>
        <v>59940</v>
      </c>
      <c r="H917">
        <f t="shared" si="42"/>
        <v>-59937</v>
      </c>
      <c r="I917">
        <f>_xlfn.XLOOKUP(A917,'[1]Forecast 2026'!$A:$A,'[1]Forecast 2026'!$AJ:$AJ,"NA",0,1)</f>
        <v>3</v>
      </c>
      <c r="J917">
        <f t="shared" si="44"/>
        <v>0</v>
      </c>
    </row>
    <row r="918" spans="1:10" hidden="1" x14ac:dyDescent="0.35">
      <c r="A918" t="s">
        <v>1857</v>
      </c>
      <c r="B918" t="s">
        <v>1858</v>
      </c>
      <c r="C918" t="s">
        <v>1508</v>
      </c>
      <c r="D918" t="s">
        <v>14</v>
      </c>
      <c r="E918">
        <v>6</v>
      </c>
      <c r="F918">
        <v>19980</v>
      </c>
      <c r="G918">
        <f t="shared" si="43"/>
        <v>119880</v>
      </c>
      <c r="H918">
        <f t="shared" si="42"/>
        <v>-119874</v>
      </c>
      <c r="I918">
        <f>_xlfn.XLOOKUP(A918,'[1]Forecast 2026'!$A:$A,'[1]Forecast 2026'!$AJ:$AJ,"NA",0,1)</f>
        <v>6</v>
      </c>
      <c r="J918">
        <f t="shared" si="44"/>
        <v>0</v>
      </c>
    </row>
    <row r="919" spans="1:10" hidden="1" x14ac:dyDescent="0.35">
      <c r="A919" t="s">
        <v>1859</v>
      </c>
      <c r="B919" t="s">
        <v>1860</v>
      </c>
      <c r="C919" t="s">
        <v>1508</v>
      </c>
      <c r="D919" t="s">
        <v>14</v>
      </c>
      <c r="E919">
        <v>57</v>
      </c>
      <c r="F919">
        <v>22990</v>
      </c>
      <c r="G919">
        <f t="shared" si="43"/>
        <v>1310430</v>
      </c>
      <c r="H919">
        <f t="shared" si="42"/>
        <v>-1310373</v>
      </c>
      <c r="I919">
        <f>_xlfn.XLOOKUP(A919,'[1]Forecast 2026'!$A:$A,'[1]Forecast 2026'!$AJ:$AJ,"NA",0,1)</f>
        <v>57</v>
      </c>
      <c r="J919">
        <f t="shared" si="44"/>
        <v>0</v>
      </c>
    </row>
    <row r="920" spans="1:10" hidden="1" x14ac:dyDescent="0.35">
      <c r="A920" t="s">
        <v>1861</v>
      </c>
      <c r="B920" t="s">
        <v>1862</v>
      </c>
      <c r="C920" t="s">
        <v>1508</v>
      </c>
      <c r="D920" t="s">
        <v>14</v>
      </c>
      <c r="E920">
        <v>7</v>
      </c>
      <c r="F920">
        <v>22990</v>
      </c>
      <c r="G920">
        <f t="shared" si="43"/>
        <v>160930</v>
      </c>
      <c r="H920">
        <f t="shared" si="42"/>
        <v>-160923</v>
      </c>
      <c r="I920">
        <f>_xlfn.XLOOKUP(A920,'[1]Forecast 2026'!$A:$A,'[1]Forecast 2026'!$AJ:$AJ,"NA",0,1)</f>
        <v>7</v>
      </c>
      <c r="J920">
        <f t="shared" si="44"/>
        <v>0</v>
      </c>
    </row>
    <row r="921" spans="1:10" hidden="1" x14ac:dyDescent="0.35">
      <c r="A921" t="s">
        <v>1863</v>
      </c>
      <c r="B921" t="s">
        <v>1864</v>
      </c>
      <c r="C921" t="s">
        <v>1508</v>
      </c>
      <c r="D921" t="s">
        <v>14</v>
      </c>
      <c r="E921">
        <v>20</v>
      </c>
      <c r="F921">
        <v>22990</v>
      </c>
      <c r="G921">
        <f t="shared" si="43"/>
        <v>459800</v>
      </c>
      <c r="H921">
        <f t="shared" si="42"/>
        <v>-459780</v>
      </c>
      <c r="I921">
        <f>_xlfn.XLOOKUP(A921,'[1]Forecast 2026'!$A:$A,'[1]Forecast 2026'!$AJ:$AJ,"NA",0,1)</f>
        <v>20</v>
      </c>
      <c r="J921">
        <f t="shared" si="44"/>
        <v>0</v>
      </c>
    </row>
    <row r="922" spans="1:10" hidden="1" x14ac:dyDescent="0.35">
      <c r="A922" t="s">
        <v>1865</v>
      </c>
      <c r="B922" t="s">
        <v>1866</v>
      </c>
      <c r="C922" t="s">
        <v>1508</v>
      </c>
      <c r="D922" t="s">
        <v>14</v>
      </c>
      <c r="E922">
        <v>15</v>
      </c>
      <c r="F922">
        <v>22990</v>
      </c>
      <c r="G922">
        <f t="shared" si="43"/>
        <v>344850</v>
      </c>
      <c r="H922">
        <f t="shared" si="42"/>
        <v>-344835</v>
      </c>
      <c r="I922">
        <f>_xlfn.XLOOKUP(A922,'[1]Forecast 2026'!$A:$A,'[1]Forecast 2026'!$AJ:$AJ,"NA",0,1)</f>
        <v>15</v>
      </c>
      <c r="J922">
        <f t="shared" si="44"/>
        <v>0</v>
      </c>
    </row>
    <row r="923" spans="1:10" hidden="1" x14ac:dyDescent="0.35">
      <c r="A923" t="s">
        <v>1867</v>
      </c>
      <c r="B923" t="s">
        <v>1868</v>
      </c>
      <c r="C923" t="s">
        <v>1508</v>
      </c>
      <c r="D923" t="s">
        <v>14</v>
      </c>
      <c r="E923">
        <v>10</v>
      </c>
      <c r="F923">
        <v>26990</v>
      </c>
      <c r="G923">
        <f t="shared" si="43"/>
        <v>269900</v>
      </c>
      <c r="H923">
        <f t="shared" si="42"/>
        <v>-269890</v>
      </c>
      <c r="I923">
        <f>_xlfn.XLOOKUP(A923,'[1]Forecast 2026'!$A:$A,'[1]Forecast 2026'!$AJ:$AJ,"NA",0,1)</f>
        <v>10</v>
      </c>
      <c r="J923">
        <f t="shared" si="44"/>
        <v>0</v>
      </c>
    </row>
    <row r="924" spans="1:10" hidden="1" x14ac:dyDescent="0.35">
      <c r="A924" t="s">
        <v>1869</v>
      </c>
      <c r="B924" t="s">
        <v>1870</v>
      </c>
      <c r="C924" t="s">
        <v>1508</v>
      </c>
      <c r="D924" t="s">
        <v>14</v>
      </c>
      <c r="E924">
        <v>8</v>
      </c>
      <c r="F924">
        <v>26990</v>
      </c>
      <c r="G924">
        <f t="shared" si="43"/>
        <v>215920</v>
      </c>
      <c r="H924">
        <f t="shared" si="42"/>
        <v>-215912</v>
      </c>
      <c r="I924">
        <f>_xlfn.XLOOKUP(A924,'[1]Forecast 2026'!$A:$A,'[1]Forecast 2026'!$AJ:$AJ,"NA",0,1)</f>
        <v>8</v>
      </c>
      <c r="J924">
        <f t="shared" si="44"/>
        <v>0</v>
      </c>
    </row>
    <row r="925" spans="1:10" hidden="1" x14ac:dyDescent="0.35">
      <c r="A925" t="s">
        <v>1871</v>
      </c>
      <c r="B925" t="s">
        <v>1872</v>
      </c>
      <c r="C925" t="s">
        <v>1508</v>
      </c>
      <c r="D925" t="s">
        <v>14</v>
      </c>
      <c r="E925">
        <v>6</v>
      </c>
      <c r="F925">
        <v>26990</v>
      </c>
      <c r="G925">
        <f t="shared" si="43"/>
        <v>161940</v>
      </c>
      <c r="H925">
        <f t="shared" si="42"/>
        <v>-161934</v>
      </c>
      <c r="I925">
        <f>_xlfn.XLOOKUP(A925,'[1]Forecast 2026'!$A:$A,'[1]Forecast 2026'!$AJ:$AJ,"NA",0,1)</f>
        <v>6</v>
      </c>
      <c r="J925">
        <f t="shared" si="44"/>
        <v>0</v>
      </c>
    </row>
    <row r="926" spans="1:10" hidden="1" x14ac:dyDescent="0.35">
      <c r="A926" t="s">
        <v>1873</v>
      </c>
      <c r="B926" t="s">
        <v>1874</v>
      </c>
      <c r="C926" t="s">
        <v>1508</v>
      </c>
      <c r="D926" t="s">
        <v>14</v>
      </c>
      <c r="E926">
        <v>3</v>
      </c>
      <c r="F926">
        <v>26990</v>
      </c>
      <c r="G926">
        <f t="shared" si="43"/>
        <v>80970</v>
      </c>
      <c r="H926">
        <f t="shared" si="42"/>
        <v>-80967</v>
      </c>
      <c r="I926">
        <f>_xlfn.XLOOKUP(A926,'[1]Forecast 2026'!$A:$A,'[1]Forecast 2026'!$AJ:$AJ,"NA",0,1)</f>
        <v>3</v>
      </c>
      <c r="J926">
        <f t="shared" si="44"/>
        <v>0</v>
      </c>
    </row>
    <row r="927" spans="1:10" hidden="1" x14ac:dyDescent="0.35">
      <c r="A927" t="s">
        <v>1875</v>
      </c>
      <c r="B927" t="s">
        <v>1876</v>
      </c>
      <c r="C927" t="s">
        <v>1508</v>
      </c>
      <c r="D927" t="s">
        <v>14</v>
      </c>
      <c r="E927">
        <v>0</v>
      </c>
      <c r="F927">
        <v>79990</v>
      </c>
      <c r="G927">
        <f t="shared" si="43"/>
        <v>0</v>
      </c>
      <c r="H927">
        <f t="shared" si="42"/>
        <v>0</v>
      </c>
      <c r="I927">
        <f>_xlfn.XLOOKUP(A927,'[1]Forecast 2026'!$A:$A,'[1]Forecast 2026'!$AJ:$AJ,"NA",0,1)</f>
        <v>0</v>
      </c>
      <c r="J927">
        <f t="shared" si="44"/>
        <v>0</v>
      </c>
    </row>
    <row r="928" spans="1:10" hidden="1" x14ac:dyDescent="0.35">
      <c r="A928" t="s">
        <v>1877</v>
      </c>
      <c r="B928" t="s">
        <v>1878</v>
      </c>
      <c r="C928" t="s">
        <v>1508</v>
      </c>
      <c r="D928" t="s">
        <v>14</v>
      </c>
      <c r="E928">
        <v>14</v>
      </c>
      <c r="F928">
        <v>89990</v>
      </c>
      <c r="G928">
        <f t="shared" si="43"/>
        <v>1259860</v>
      </c>
      <c r="H928">
        <f t="shared" si="42"/>
        <v>-1259846</v>
      </c>
      <c r="I928">
        <f>_xlfn.XLOOKUP(A928,'[1]Forecast 2026'!$A:$A,'[1]Forecast 2026'!$AJ:$AJ,"NA",0,1)</f>
        <v>14</v>
      </c>
      <c r="J928">
        <f t="shared" si="44"/>
        <v>0</v>
      </c>
    </row>
    <row r="929" spans="1:8" hidden="1" x14ac:dyDescent="0.35">
      <c r="A929" s="2" t="s">
        <v>1879</v>
      </c>
      <c r="B929" s="2"/>
      <c r="C929" s="2"/>
      <c r="D929" s="2"/>
      <c r="E929" s="2">
        <f>SUM(E3:E928)</f>
        <v>6603</v>
      </c>
      <c r="F929" s="2"/>
      <c r="G929" s="2">
        <f>SUM(G3:G928)</f>
        <v>252026570</v>
      </c>
      <c r="H929" s="2">
        <f>SUM(H3:H928)</f>
        <v>-252019967</v>
      </c>
    </row>
  </sheetData>
  <autoFilter ref="A2:K929" xr:uid="{00000000-0001-0000-0000-000000000000}">
    <filterColumn colId="0">
      <filters>
        <filter val="R654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69E6-92CB-48F1-8861-0D75655C57AD}">
  <sheetPr filterMode="1"/>
  <dimension ref="B1:E715"/>
  <sheetViews>
    <sheetView tabSelected="1" workbookViewId="0">
      <selection activeCell="D720" sqref="D720"/>
    </sheetView>
  </sheetViews>
  <sheetFormatPr baseColWidth="10" defaultRowHeight="14.5" x14ac:dyDescent="0.35"/>
  <sheetData>
    <row r="1" spans="2:5" x14ac:dyDescent="0.35">
      <c r="B1" t="s">
        <v>1988</v>
      </c>
      <c r="C1" t="s">
        <v>1990</v>
      </c>
      <c r="D1" t="s">
        <v>1991</v>
      </c>
      <c r="E1" t="s">
        <v>1989</v>
      </c>
    </row>
    <row r="2" spans="2:5" hidden="1" x14ac:dyDescent="0.35">
      <c r="B2" t="s">
        <v>8</v>
      </c>
      <c r="D2">
        <f>SUMIF('FC Jul 2026 - Sistema'!A:A,B2,'FC Jul 2026 - Sistema'!E:E)</f>
        <v>0</v>
      </c>
      <c r="E2">
        <f>C2-D2</f>
        <v>0</v>
      </c>
    </row>
    <row r="3" spans="2:5" hidden="1" x14ac:dyDescent="0.35">
      <c r="B3" t="s">
        <v>12</v>
      </c>
      <c r="C3">
        <v>512</v>
      </c>
      <c r="D3">
        <f>SUMIF('FC Jul 2026 - Sistema'!A:A,B3,'FC Jul 2026 - Sistema'!E:E)</f>
        <v>512</v>
      </c>
      <c r="E3">
        <f t="shared" ref="E3:E66" si="0">C3-D3</f>
        <v>0</v>
      </c>
    </row>
    <row r="4" spans="2:5" hidden="1" x14ac:dyDescent="0.35">
      <c r="B4" t="s">
        <v>1880</v>
      </c>
      <c r="D4">
        <f>SUMIF('FC Jul 2026 - Sistema'!A:A,B4,'FC Jul 2026 - Sistema'!E:E)</f>
        <v>0</v>
      </c>
      <c r="E4">
        <f t="shared" si="0"/>
        <v>0</v>
      </c>
    </row>
    <row r="5" spans="2:5" hidden="1" x14ac:dyDescent="0.35">
      <c r="B5" t="s">
        <v>15</v>
      </c>
      <c r="D5">
        <f>SUMIF('FC Jul 2026 - Sistema'!A:A,B5,'FC Jul 2026 - Sistema'!E:E)</f>
        <v>0</v>
      </c>
      <c r="E5">
        <f t="shared" si="0"/>
        <v>0</v>
      </c>
    </row>
    <row r="6" spans="2:5" hidden="1" x14ac:dyDescent="0.35">
      <c r="B6" t="s">
        <v>17</v>
      </c>
      <c r="D6">
        <f>SUMIF('FC Jul 2026 - Sistema'!A:A,B6,'FC Jul 2026 - Sistema'!E:E)</f>
        <v>0</v>
      </c>
      <c r="E6">
        <f t="shared" si="0"/>
        <v>0</v>
      </c>
    </row>
    <row r="7" spans="2:5" hidden="1" x14ac:dyDescent="0.35">
      <c r="B7" t="s">
        <v>19</v>
      </c>
      <c r="D7">
        <f>SUMIF('FC Jul 2026 - Sistema'!A:A,B7,'FC Jul 2026 - Sistema'!E:E)</f>
        <v>0</v>
      </c>
      <c r="E7">
        <f t="shared" si="0"/>
        <v>0</v>
      </c>
    </row>
    <row r="8" spans="2:5" hidden="1" x14ac:dyDescent="0.35">
      <c r="B8" t="s">
        <v>21</v>
      </c>
      <c r="D8">
        <f>SUMIF('FC Jul 2026 - Sistema'!A:A,B8,'FC Jul 2026 - Sistema'!E:E)</f>
        <v>0</v>
      </c>
      <c r="E8">
        <f t="shared" si="0"/>
        <v>0</v>
      </c>
    </row>
    <row r="9" spans="2:5" hidden="1" x14ac:dyDescent="0.35">
      <c r="B9" t="s">
        <v>23</v>
      </c>
      <c r="D9">
        <f>SUMIF('FC Jul 2026 - Sistema'!A:A,B9,'FC Jul 2026 - Sistema'!E:E)</f>
        <v>0</v>
      </c>
      <c r="E9">
        <f t="shared" si="0"/>
        <v>0</v>
      </c>
    </row>
    <row r="10" spans="2:5" hidden="1" x14ac:dyDescent="0.35">
      <c r="B10" t="s">
        <v>25</v>
      </c>
      <c r="C10">
        <v>30</v>
      </c>
      <c r="D10">
        <f>SUMIF('FC Jul 2026 - Sistema'!A:A,B10,'FC Jul 2026 - Sistema'!E:E)</f>
        <v>30</v>
      </c>
      <c r="E10">
        <f t="shared" si="0"/>
        <v>0</v>
      </c>
    </row>
    <row r="11" spans="2:5" hidden="1" x14ac:dyDescent="0.35">
      <c r="B11" t="s">
        <v>27</v>
      </c>
      <c r="C11">
        <v>12</v>
      </c>
      <c r="D11">
        <f>SUMIF('FC Jul 2026 - Sistema'!A:A,B11,'FC Jul 2026 - Sistema'!E:E)</f>
        <v>12</v>
      </c>
      <c r="E11">
        <f t="shared" si="0"/>
        <v>0</v>
      </c>
    </row>
    <row r="12" spans="2:5" hidden="1" x14ac:dyDescent="0.35">
      <c r="B12" t="s">
        <v>29</v>
      </c>
      <c r="D12">
        <f>SUMIF('FC Jul 2026 - Sistema'!A:A,B12,'FC Jul 2026 - Sistema'!E:E)</f>
        <v>0</v>
      </c>
      <c r="E12">
        <f t="shared" si="0"/>
        <v>0</v>
      </c>
    </row>
    <row r="13" spans="2:5" hidden="1" x14ac:dyDescent="0.35">
      <c r="B13" t="s">
        <v>31</v>
      </c>
      <c r="D13">
        <f>SUMIF('FC Jul 2026 - Sistema'!A:A,B13,'FC Jul 2026 - Sistema'!E:E)</f>
        <v>0</v>
      </c>
      <c r="E13">
        <f t="shared" si="0"/>
        <v>0</v>
      </c>
    </row>
    <row r="14" spans="2:5" hidden="1" x14ac:dyDescent="0.35">
      <c r="B14" t="s">
        <v>33</v>
      </c>
      <c r="D14">
        <f>SUMIF('FC Jul 2026 - Sistema'!A:A,B14,'FC Jul 2026 - Sistema'!E:E)</f>
        <v>0</v>
      </c>
      <c r="E14">
        <f t="shared" si="0"/>
        <v>0</v>
      </c>
    </row>
    <row r="15" spans="2:5" hidden="1" x14ac:dyDescent="0.35">
      <c r="B15" t="s">
        <v>1881</v>
      </c>
      <c r="D15">
        <f>SUMIF('FC Jul 2026 - Sistema'!A:A,B15,'FC Jul 2026 - Sistema'!E:E)</f>
        <v>0</v>
      </c>
      <c r="E15">
        <f t="shared" si="0"/>
        <v>0</v>
      </c>
    </row>
    <row r="16" spans="2:5" hidden="1" x14ac:dyDescent="0.35">
      <c r="B16" t="s">
        <v>35</v>
      </c>
      <c r="C16">
        <v>15</v>
      </c>
      <c r="D16">
        <f>SUMIF('FC Jul 2026 - Sistema'!A:A,B16,'FC Jul 2026 - Sistema'!E:E)</f>
        <v>15</v>
      </c>
      <c r="E16">
        <f t="shared" si="0"/>
        <v>0</v>
      </c>
    </row>
    <row r="17" spans="2:5" hidden="1" x14ac:dyDescent="0.35">
      <c r="B17" t="s">
        <v>37</v>
      </c>
      <c r="C17">
        <v>3</v>
      </c>
      <c r="D17">
        <f>SUMIF('FC Jul 2026 - Sistema'!A:A,B17,'FC Jul 2026 - Sistema'!E:E)</f>
        <v>3</v>
      </c>
      <c r="E17">
        <f t="shared" si="0"/>
        <v>0</v>
      </c>
    </row>
    <row r="18" spans="2:5" hidden="1" x14ac:dyDescent="0.35">
      <c r="B18" t="s">
        <v>41</v>
      </c>
      <c r="C18">
        <v>9</v>
      </c>
      <c r="D18">
        <f>SUMIF('FC Jul 2026 - Sistema'!A:A,B18,'FC Jul 2026 - Sistema'!E:E)</f>
        <v>9</v>
      </c>
      <c r="E18">
        <f t="shared" si="0"/>
        <v>0</v>
      </c>
    </row>
    <row r="19" spans="2:5" hidden="1" x14ac:dyDescent="0.35">
      <c r="B19" t="s">
        <v>43</v>
      </c>
      <c r="D19">
        <f>SUMIF('FC Jul 2026 - Sistema'!A:A,B19,'FC Jul 2026 - Sistema'!E:E)</f>
        <v>0</v>
      </c>
      <c r="E19">
        <f t="shared" si="0"/>
        <v>0</v>
      </c>
    </row>
    <row r="20" spans="2:5" hidden="1" x14ac:dyDescent="0.35">
      <c r="B20" t="s">
        <v>1882</v>
      </c>
      <c r="D20">
        <f>SUMIF('FC Jul 2026 - Sistema'!A:A,B20,'FC Jul 2026 - Sistema'!E:E)</f>
        <v>0</v>
      </c>
      <c r="E20">
        <f t="shared" si="0"/>
        <v>0</v>
      </c>
    </row>
    <row r="21" spans="2:5" hidden="1" x14ac:dyDescent="0.35">
      <c r="B21" t="s">
        <v>46</v>
      </c>
      <c r="C21">
        <v>40</v>
      </c>
      <c r="D21">
        <f>SUMIF('FC Jul 2026 - Sistema'!A:A,B21,'FC Jul 2026 - Sistema'!E:E)</f>
        <v>40</v>
      </c>
      <c r="E21">
        <f t="shared" si="0"/>
        <v>0</v>
      </c>
    </row>
    <row r="22" spans="2:5" hidden="1" x14ac:dyDescent="0.35">
      <c r="B22" t="s">
        <v>1883</v>
      </c>
      <c r="D22">
        <f>SUMIF('FC Jul 2026 - Sistema'!A:A,B22,'FC Jul 2026 - Sistema'!E:E)</f>
        <v>0</v>
      </c>
      <c r="E22">
        <f t="shared" si="0"/>
        <v>0</v>
      </c>
    </row>
    <row r="23" spans="2:5" hidden="1" x14ac:dyDescent="0.35">
      <c r="B23" t="s">
        <v>1884</v>
      </c>
      <c r="D23">
        <f>SUMIF('FC Jul 2026 - Sistema'!A:A,B23,'FC Jul 2026 - Sistema'!E:E)</f>
        <v>0</v>
      </c>
      <c r="E23">
        <f t="shared" si="0"/>
        <v>0</v>
      </c>
    </row>
    <row r="24" spans="2:5" hidden="1" x14ac:dyDescent="0.35">
      <c r="B24" t="s">
        <v>1885</v>
      </c>
      <c r="D24">
        <f>SUMIF('FC Jul 2026 - Sistema'!A:A,B24,'FC Jul 2026 - Sistema'!E:E)</f>
        <v>0</v>
      </c>
      <c r="E24">
        <f t="shared" si="0"/>
        <v>0</v>
      </c>
    </row>
    <row r="25" spans="2:5" hidden="1" x14ac:dyDescent="0.35">
      <c r="B25" t="s">
        <v>1886</v>
      </c>
      <c r="D25">
        <f>SUMIF('FC Jul 2026 - Sistema'!A:A,B25,'FC Jul 2026 - Sistema'!E:E)</f>
        <v>0</v>
      </c>
      <c r="E25">
        <f t="shared" si="0"/>
        <v>0</v>
      </c>
    </row>
    <row r="26" spans="2:5" hidden="1" x14ac:dyDescent="0.35">
      <c r="B26" t="s">
        <v>1887</v>
      </c>
      <c r="D26">
        <f>SUMIF('FC Jul 2026 - Sistema'!A:A,B26,'FC Jul 2026 - Sistema'!E:E)</f>
        <v>0</v>
      </c>
      <c r="E26">
        <f t="shared" si="0"/>
        <v>0</v>
      </c>
    </row>
    <row r="27" spans="2:5" hidden="1" x14ac:dyDescent="0.35">
      <c r="B27" t="s">
        <v>49</v>
      </c>
      <c r="C27">
        <v>100</v>
      </c>
      <c r="D27">
        <f>SUMIF('FC Jul 2026 - Sistema'!A:A,B27,'FC Jul 2026 - Sistema'!E:E)</f>
        <v>100</v>
      </c>
      <c r="E27">
        <f t="shared" si="0"/>
        <v>0</v>
      </c>
    </row>
    <row r="28" spans="2:5" hidden="1" x14ac:dyDescent="0.35">
      <c r="B28" t="s">
        <v>51</v>
      </c>
      <c r="C28">
        <v>1</v>
      </c>
      <c r="D28">
        <f>SUMIF('FC Jul 2026 - Sistema'!A:A,B28,'FC Jul 2026 - Sistema'!E:E)</f>
        <v>1</v>
      </c>
      <c r="E28">
        <f t="shared" si="0"/>
        <v>0</v>
      </c>
    </row>
    <row r="29" spans="2:5" hidden="1" x14ac:dyDescent="0.35">
      <c r="B29" t="s">
        <v>53</v>
      </c>
      <c r="C29">
        <v>1</v>
      </c>
      <c r="D29">
        <f>SUMIF('FC Jul 2026 - Sistema'!A:A,B29,'FC Jul 2026 - Sistema'!E:E)</f>
        <v>1</v>
      </c>
      <c r="E29">
        <f t="shared" si="0"/>
        <v>0</v>
      </c>
    </row>
    <row r="30" spans="2:5" hidden="1" x14ac:dyDescent="0.35">
      <c r="B30" t="s">
        <v>55</v>
      </c>
      <c r="C30">
        <v>1</v>
      </c>
      <c r="D30">
        <f>SUMIF('FC Jul 2026 - Sistema'!A:A,B30,'FC Jul 2026 - Sistema'!E:E)</f>
        <v>1</v>
      </c>
      <c r="E30">
        <f t="shared" si="0"/>
        <v>0</v>
      </c>
    </row>
    <row r="31" spans="2:5" hidden="1" x14ac:dyDescent="0.35">
      <c r="B31" t="s">
        <v>1888</v>
      </c>
      <c r="D31">
        <f>SUMIF('FC Jul 2026 - Sistema'!A:A,B31,'FC Jul 2026 - Sistema'!E:E)</f>
        <v>0</v>
      </c>
      <c r="E31">
        <f t="shared" si="0"/>
        <v>0</v>
      </c>
    </row>
    <row r="32" spans="2:5" hidden="1" x14ac:dyDescent="0.35">
      <c r="B32" t="s">
        <v>57</v>
      </c>
      <c r="C32">
        <v>1</v>
      </c>
      <c r="D32">
        <f>SUMIF('FC Jul 2026 - Sistema'!A:A,B32,'FC Jul 2026 - Sistema'!E:E)</f>
        <v>1</v>
      </c>
      <c r="E32">
        <f t="shared" si="0"/>
        <v>0</v>
      </c>
    </row>
    <row r="33" spans="2:5" hidden="1" x14ac:dyDescent="0.35">
      <c r="B33" t="s">
        <v>59</v>
      </c>
      <c r="C33">
        <v>1</v>
      </c>
      <c r="D33">
        <f>SUMIF('FC Jul 2026 - Sistema'!A:A,B33,'FC Jul 2026 - Sistema'!E:E)</f>
        <v>1</v>
      </c>
      <c r="E33">
        <f t="shared" si="0"/>
        <v>0</v>
      </c>
    </row>
    <row r="34" spans="2:5" hidden="1" x14ac:dyDescent="0.35">
      <c r="B34" t="s">
        <v>61</v>
      </c>
      <c r="D34">
        <f>SUMIF('FC Jul 2026 - Sistema'!A:A,B34,'FC Jul 2026 - Sistema'!E:E)</f>
        <v>0</v>
      </c>
      <c r="E34">
        <f t="shared" si="0"/>
        <v>0</v>
      </c>
    </row>
    <row r="35" spans="2:5" hidden="1" x14ac:dyDescent="0.35">
      <c r="B35" t="s">
        <v>1889</v>
      </c>
      <c r="D35">
        <f>SUMIF('FC Jul 2026 - Sistema'!A:A,B35,'FC Jul 2026 - Sistema'!E:E)</f>
        <v>0</v>
      </c>
      <c r="E35">
        <f t="shared" si="0"/>
        <v>0</v>
      </c>
    </row>
    <row r="36" spans="2:5" hidden="1" x14ac:dyDescent="0.35">
      <c r="B36" t="s">
        <v>1890</v>
      </c>
      <c r="D36">
        <f>SUMIF('FC Jul 2026 - Sistema'!A:A,B36,'FC Jul 2026 - Sistema'!E:E)</f>
        <v>0</v>
      </c>
      <c r="E36">
        <f t="shared" si="0"/>
        <v>0</v>
      </c>
    </row>
    <row r="37" spans="2:5" hidden="1" x14ac:dyDescent="0.35">
      <c r="B37" t="s">
        <v>63</v>
      </c>
      <c r="C37">
        <v>66</v>
      </c>
      <c r="D37">
        <f>SUMIF('FC Jul 2026 - Sistema'!A:A,B37,'FC Jul 2026 - Sistema'!E:E)</f>
        <v>66</v>
      </c>
      <c r="E37">
        <f t="shared" si="0"/>
        <v>0</v>
      </c>
    </row>
    <row r="38" spans="2:5" hidden="1" x14ac:dyDescent="0.35">
      <c r="B38" t="s">
        <v>65</v>
      </c>
      <c r="D38">
        <f>SUMIF('FC Jul 2026 - Sistema'!A:A,B38,'FC Jul 2026 - Sistema'!E:E)</f>
        <v>0</v>
      </c>
      <c r="E38">
        <f t="shared" si="0"/>
        <v>0</v>
      </c>
    </row>
    <row r="39" spans="2:5" hidden="1" x14ac:dyDescent="0.35">
      <c r="B39" t="s">
        <v>67</v>
      </c>
      <c r="D39">
        <f>SUMIF('FC Jul 2026 - Sistema'!A:A,B39,'FC Jul 2026 - Sistema'!E:E)</f>
        <v>0</v>
      </c>
      <c r="E39">
        <f t="shared" si="0"/>
        <v>0</v>
      </c>
    </row>
    <row r="40" spans="2:5" hidden="1" x14ac:dyDescent="0.35">
      <c r="B40" t="s">
        <v>69</v>
      </c>
      <c r="D40">
        <f>SUMIF('FC Jul 2026 - Sistema'!A:A,B40,'FC Jul 2026 - Sistema'!E:E)</f>
        <v>0</v>
      </c>
      <c r="E40">
        <f t="shared" si="0"/>
        <v>0</v>
      </c>
    </row>
    <row r="41" spans="2:5" hidden="1" x14ac:dyDescent="0.35">
      <c r="B41" t="s">
        <v>71</v>
      </c>
      <c r="D41">
        <f>SUMIF('FC Jul 2026 - Sistema'!A:A,B41,'FC Jul 2026 - Sistema'!E:E)</f>
        <v>0</v>
      </c>
      <c r="E41">
        <f t="shared" si="0"/>
        <v>0</v>
      </c>
    </row>
    <row r="42" spans="2:5" hidden="1" x14ac:dyDescent="0.35">
      <c r="B42" t="s">
        <v>73</v>
      </c>
      <c r="D42">
        <f>SUMIF('FC Jul 2026 - Sistema'!A:A,B42,'FC Jul 2026 - Sistema'!E:E)</f>
        <v>0</v>
      </c>
      <c r="E42">
        <f t="shared" si="0"/>
        <v>0</v>
      </c>
    </row>
    <row r="43" spans="2:5" hidden="1" x14ac:dyDescent="0.35">
      <c r="B43" t="s">
        <v>75</v>
      </c>
      <c r="D43">
        <f>SUMIF('FC Jul 2026 - Sistema'!A:A,B43,'FC Jul 2026 - Sistema'!E:E)</f>
        <v>0</v>
      </c>
      <c r="E43">
        <f t="shared" si="0"/>
        <v>0</v>
      </c>
    </row>
    <row r="44" spans="2:5" hidden="1" x14ac:dyDescent="0.35">
      <c r="B44" t="s">
        <v>77</v>
      </c>
      <c r="D44">
        <f>SUMIF('FC Jul 2026 - Sistema'!A:A,B44,'FC Jul 2026 - Sistema'!E:E)</f>
        <v>0</v>
      </c>
      <c r="E44">
        <f t="shared" si="0"/>
        <v>0</v>
      </c>
    </row>
    <row r="45" spans="2:5" hidden="1" x14ac:dyDescent="0.35">
      <c r="B45" t="s">
        <v>79</v>
      </c>
      <c r="D45">
        <f>SUMIF('FC Jul 2026 - Sistema'!A:A,B45,'FC Jul 2026 - Sistema'!E:E)</f>
        <v>0</v>
      </c>
      <c r="E45">
        <f t="shared" si="0"/>
        <v>0</v>
      </c>
    </row>
    <row r="46" spans="2:5" hidden="1" x14ac:dyDescent="0.35">
      <c r="B46" t="s">
        <v>81</v>
      </c>
      <c r="C46">
        <v>220</v>
      </c>
      <c r="D46">
        <f>SUMIF('FC Jul 2026 - Sistema'!A:A,B46,'FC Jul 2026 - Sistema'!E:E)</f>
        <v>220</v>
      </c>
      <c r="E46">
        <f t="shared" si="0"/>
        <v>0</v>
      </c>
    </row>
    <row r="47" spans="2:5" hidden="1" x14ac:dyDescent="0.35">
      <c r="B47" t="s">
        <v>83</v>
      </c>
      <c r="D47">
        <f>SUMIF('FC Jul 2026 - Sistema'!A:A,B47,'FC Jul 2026 - Sistema'!E:E)</f>
        <v>0</v>
      </c>
      <c r="E47">
        <f t="shared" si="0"/>
        <v>0</v>
      </c>
    </row>
    <row r="48" spans="2:5" x14ac:dyDescent="0.35">
      <c r="B48" t="s">
        <v>1891</v>
      </c>
      <c r="C48">
        <v>1</v>
      </c>
      <c r="D48">
        <f>SUMIF('FC Jul 2026 - Sistema'!A:A,B48,'FC Jul 2026 - Sistema'!E:E)</f>
        <v>0</v>
      </c>
      <c r="E48">
        <f t="shared" si="0"/>
        <v>1</v>
      </c>
    </row>
    <row r="49" spans="2:5" hidden="1" x14ac:dyDescent="0.35">
      <c r="B49" t="s">
        <v>85</v>
      </c>
      <c r="C49">
        <v>32</v>
      </c>
      <c r="D49">
        <f>SUMIF('FC Jul 2026 - Sistema'!A:A,B49,'FC Jul 2026 - Sistema'!E:E)</f>
        <v>32</v>
      </c>
      <c r="E49">
        <f t="shared" si="0"/>
        <v>0</v>
      </c>
    </row>
    <row r="50" spans="2:5" hidden="1" x14ac:dyDescent="0.35">
      <c r="B50" t="s">
        <v>87</v>
      </c>
      <c r="C50">
        <v>60</v>
      </c>
      <c r="D50">
        <f>SUMIF('FC Jul 2026 - Sistema'!A:A,B50,'FC Jul 2026 - Sistema'!E:E)</f>
        <v>60</v>
      </c>
      <c r="E50">
        <f t="shared" si="0"/>
        <v>0</v>
      </c>
    </row>
    <row r="51" spans="2:5" hidden="1" x14ac:dyDescent="0.35">
      <c r="B51" t="s">
        <v>89</v>
      </c>
      <c r="D51">
        <f>SUMIF('FC Jul 2026 - Sistema'!A:A,B51,'FC Jul 2026 - Sistema'!E:E)</f>
        <v>0</v>
      </c>
      <c r="E51">
        <f t="shared" si="0"/>
        <v>0</v>
      </c>
    </row>
    <row r="52" spans="2:5" hidden="1" x14ac:dyDescent="0.35">
      <c r="B52" t="s">
        <v>1892</v>
      </c>
      <c r="D52">
        <f>SUMIF('FC Jul 2026 - Sistema'!A:A,B52,'FC Jul 2026 - Sistema'!E:E)</f>
        <v>0</v>
      </c>
      <c r="E52">
        <f t="shared" si="0"/>
        <v>0</v>
      </c>
    </row>
    <row r="53" spans="2:5" hidden="1" x14ac:dyDescent="0.35">
      <c r="B53" t="s">
        <v>91</v>
      </c>
      <c r="C53">
        <v>46</v>
      </c>
      <c r="D53">
        <f>SUMIF('FC Jul 2026 - Sistema'!A:A,B53,'FC Jul 2026 - Sistema'!E:E)</f>
        <v>46</v>
      </c>
      <c r="E53">
        <f t="shared" si="0"/>
        <v>0</v>
      </c>
    </row>
    <row r="54" spans="2:5" hidden="1" x14ac:dyDescent="0.35">
      <c r="B54" t="s">
        <v>93</v>
      </c>
      <c r="D54">
        <f>SUMIF('FC Jul 2026 - Sistema'!A:A,B54,'FC Jul 2026 - Sistema'!E:E)</f>
        <v>0</v>
      </c>
      <c r="E54">
        <f t="shared" si="0"/>
        <v>0</v>
      </c>
    </row>
    <row r="55" spans="2:5" hidden="1" x14ac:dyDescent="0.35">
      <c r="B55" t="s">
        <v>1893</v>
      </c>
      <c r="D55">
        <f>SUMIF('FC Jul 2026 - Sistema'!A:A,B55,'FC Jul 2026 - Sistema'!E:E)</f>
        <v>0</v>
      </c>
      <c r="E55">
        <f t="shared" si="0"/>
        <v>0</v>
      </c>
    </row>
    <row r="56" spans="2:5" hidden="1" x14ac:dyDescent="0.35">
      <c r="B56" t="s">
        <v>1894</v>
      </c>
      <c r="D56">
        <f>SUMIF('FC Jul 2026 - Sistema'!A:A,B56,'FC Jul 2026 - Sistema'!E:E)</f>
        <v>0</v>
      </c>
      <c r="E56">
        <f t="shared" si="0"/>
        <v>0</v>
      </c>
    </row>
    <row r="57" spans="2:5" hidden="1" x14ac:dyDescent="0.35">
      <c r="B57" t="s">
        <v>1895</v>
      </c>
      <c r="D57">
        <f>SUMIF('FC Jul 2026 - Sistema'!A:A,B57,'FC Jul 2026 - Sistema'!E:E)</f>
        <v>0</v>
      </c>
      <c r="E57">
        <f t="shared" si="0"/>
        <v>0</v>
      </c>
    </row>
    <row r="58" spans="2:5" hidden="1" x14ac:dyDescent="0.35">
      <c r="B58" t="s">
        <v>1896</v>
      </c>
      <c r="D58">
        <f>SUMIF('FC Jul 2026 - Sistema'!A:A,B58,'FC Jul 2026 - Sistema'!E:E)</f>
        <v>0</v>
      </c>
      <c r="E58">
        <f t="shared" si="0"/>
        <v>0</v>
      </c>
    </row>
    <row r="59" spans="2:5" hidden="1" x14ac:dyDescent="0.35">
      <c r="B59" t="s">
        <v>1897</v>
      </c>
      <c r="D59">
        <f>SUMIF('FC Jul 2026 - Sistema'!A:A,B59,'FC Jul 2026 - Sistema'!E:E)</f>
        <v>0</v>
      </c>
      <c r="E59">
        <f t="shared" si="0"/>
        <v>0</v>
      </c>
    </row>
    <row r="60" spans="2:5" hidden="1" x14ac:dyDescent="0.35">
      <c r="B60" t="s">
        <v>1898</v>
      </c>
      <c r="D60">
        <f>SUMIF('FC Jul 2026 - Sistema'!A:A,B60,'FC Jul 2026 - Sistema'!E:E)</f>
        <v>0</v>
      </c>
      <c r="E60">
        <f t="shared" si="0"/>
        <v>0</v>
      </c>
    </row>
    <row r="61" spans="2:5" hidden="1" x14ac:dyDescent="0.35">
      <c r="B61" t="s">
        <v>1899</v>
      </c>
      <c r="D61">
        <f>SUMIF('FC Jul 2026 - Sistema'!A:A,B61,'FC Jul 2026 - Sistema'!E:E)</f>
        <v>0</v>
      </c>
      <c r="E61">
        <f t="shared" si="0"/>
        <v>0</v>
      </c>
    </row>
    <row r="62" spans="2:5" hidden="1" x14ac:dyDescent="0.35">
      <c r="B62" t="s">
        <v>95</v>
      </c>
      <c r="D62">
        <f>SUMIF('FC Jul 2026 - Sistema'!A:A,B62,'FC Jul 2026 - Sistema'!E:E)</f>
        <v>0</v>
      </c>
      <c r="E62">
        <f t="shared" si="0"/>
        <v>0</v>
      </c>
    </row>
    <row r="63" spans="2:5" hidden="1" x14ac:dyDescent="0.35">
      <c r="B63" t="s">
        <v>97</v>
      </c>
      <c r="C63">
        <v>90</v>
      </c>
      <c r="D63">
        <f>SUMIF('FC Jul 2026 - Sistema'!A:A,B63,'FC Jul 2026 - Sistema'!E:E)</f>
        <v>90</v>
      </c>
      <c r="E63">
        <f t="shared" si="0"/>
        <v>0</v>
      </c>
    </row>
    <row r="64" spans="2:5" hidden="1" x14ac:dyDescent="0.35">
      <c r="B64" t="s">
        <v>99</v>
      </c>
      <c r="C64">
        <v>100</v>
      </c>
      <c r="D64">
        <f>SUMIF('FC Jul 2026 - Sistema'!A:A,B64,'FC Jul 2026 - Sistema'!E:E)</f>
        <v>100</v>
      </c>
      <c r="E64">
        <f t="shared" si="0"/>
        <v>0</v>
      </c>
    </row>
    <row r="65" spans="2:5" hidden="1" x14ac:dyDescent="0.35">
      <c r="B65" t="s">
        <v>101</v>
      </c>
      <c r="C65">
        <v>100</v>
      </c>
      <c r="D65">
        <f>SUMIF('FC Jul 2026 - Sistema'!A:A,B65,'FC Jul 2026 - Sistema'!E:E)</f>
        <v>100</v>
      </c>
      <c r="E65">
        <f t="shared" si="0"/>
        <v>0</v>
      </c>
    </row>
    <row r="66" spans="2:5" hidden="1" x14ac:dyDescent="0.35">
      <c r="B66" t="s">
        <v>103</v>
      </c>
      <c r="C66">
        <v>80</v>
      </c>
      <c r="D66">
        <f>SUMIF('FC Jul 2026 - Sistema'!A:A,B66,'FC Jul 2026 - Sistema'!E:E)</f>
        <v>80</v>
      </c>
      <c r="E66">
        <f t="shared" si="0"/>
        <v>0</v>
      </c>
    </row>
    <row r="67" spans="2:5" hidden="1" x14ac:dyDescent="0.35">
      <c r="B67" t="s">
        <v>105</v>
      </c>
      <c r="D67">
        <f>SUMIF('FC Jul 2026 - Sistema'!A:A,B67,'FC Jul 2026 - Sistema'!E:E)</f>
        <v>0</v>
      </c>
      <c r="E67">
        <f t="shared" ref="E67:E130" si="1">C67-D67</f>
        <v>0</v>
      </c>
    </row>
    <row r="68" spans="2:5" hidden="1" x14ac:dyDescent="0.35">
      <c r="B68" t="s">
        <v>107</v>
      </c>
      <c r="C68">
        <v>41</v>
      </c>
      <c r="D68">
        <f>SUMIF('FC Jul 2026 - Sistema'!A:A,B68,'FC Jul 2026 - Sistema'!E:E)</f>
        <v>41</v>
      </c>
      <c r="E68">
        <f t="shared" si="1"/>
        <v>0</v>
      </c>
    </row>
    <row r="69" spans="2:5" hidden="1" x14ac:dyDescent="0.35">
      <c r="B69" t="s">
        <v>109</v>
      </c>
      <c r="C69">
        <v>33</v>
      </c>
      <c r="D69">
        <f>SUMIF('FC Jul 2026 - Sistema'!A:A,B69,'FC Jul 2026 - Sistema'!E:E)</f>
        <v>33</v>
      </c>
      <c r="E69">
        <f t="shared" si="1"/>
        <v>0</v>
      </c>
    </row>
    <row r="70" spans="2:5" hidden="1" x14ac:dyDescent="0.35">
      <c r="B70" t="s">
        <v>1900</v>
      </c>
      <c r="D70">
        <f>SUMIF('FC Jul 2026 - Sistema'!A:A,B70,'FC Jul 2026 - Sistema'!E:E)</f>
        <v>0</v>
      </c>
      <c r="E70">
        <f t="shared" si="1"/>
        <v>0</v>
      </c>
    </row>
    <row r="71" spans="2:5" hidden="1" x14ac:dyDescent="0.35">
      <c r="B71" t="s">
        <v>111</v>
      </c>
      <c r="D71">
        <f>SUMIF('FC Jul 2026 - Sistema'!A:A,B71,'FC Jul 2026 - Sistema'!E:E)</f>
        <v>0</v>
      </c>
      <c r="E71">
        <f t="shared" si="1"/>
        <v>0</v>
      </c>
    </row>
    <row r="72" spans="2:5" hidden="1" x14ac:dyDescent="0.35">
      <c r="B72" t="s">
        <v>115</v>
      </c>
      <c r="D72">
        <f>SUMIF('FC Jul 2026 - Sistema'!A:A,B72,'FC Jul 2026 - Sistema'!E:E)</f>
        <v>0</v>
      </c>
      <c r="E72">
        <f t="shared" si="1"/>
        <v>0</v>
      </c>
    </row>
    <row r="73" spans="2:5" hidden="1" x14ac:dyDescent="0.35">
      <c r="B73" t="s">
        <v>117</v>
      </c>
      <c r="C73">
        <v>2</v>
      </c>
      <c r="D73">
        <f>SUMIF('FC Jul 2026 - Sistema'!A:A,B73,'FC Jul 2026 - Sistema'!E:E)</f>
        <v>2</v>
      </c>
      <c r="E73">
        <f t="shared" si="1"/>
        <v>0</v>
      </c>
    </row>
    <row r="74" spans="2:5" hidden="1" x14ac:dyDescent="0.35">
      <c r="B74" t="s">
        <v>119</v>
      </c>
      <c r="D74">
        <f>SUMIF('FC Jul 2026 - Sistema'!A:A,B74,'FC Jul 2026 - Sistema'!E:E)</f>
        <v>0</v>
      </c>
      <c r="E74">
        <f t="shared" si="1"/>
        <v>0</v>
      </c>
    </row>
    <row r="75" spans="2:5" hidden="1" x14ac:dyDescent="0.35">
      <c r="B75" t="s">
        <v>121</v>
      </c>
      <c r="D75">
        <f>SUMIF('FC Jul 2026 - Sistema'!A:A,B75,'FC Jul 2026 - Sistema'!E:E)</f>
        <v>0</v>
      </c>
      <c r="E75">
        <f t="shared" si="1"/>
        <v>0</v>
      </c>
    </row>
    <row r="76" spans="2:5" hidden="1" x14ac:dyDescent="0.35">
      <c r="B76" t="s">
        <v>123</v>
      </c>
      <c r="D76">
        <f>SUMIF('FC Jul 2026 - Sistema'!A:A,B76,'FC Jul 2026 - Sistema'!E:E)</f>
        <v>0</v>
      </c>
      <c r="E76">
        <f t="shared" si="1"/>
        <v>0</v>
      </c>
    </row>
    <row r="77" spans="2:5" hidden="1" x14ac:dyDescent="0.35">
      <c r="B77" t="s">
        <v>1901</v>
      </c>
      <c r="D77">
        <f>SUMIF('FC Jul 2026 - Sistema'!A:A,B77,'FC Jul 2026 - Sistema'!E:E)</f>
        <v>0</v>
      </c>
      <c r="E77">
        <f t="shared" si="1"/>
        <v>0</v>
      </c>
    </row>
    <row r="78" spans="2:5" hidden="1" x14ac:dyDescent="0.35">
      <c r="B78" t="s">
        <v>125</v>
      </c>
      <c r="C78">
        <v>16</v>
      </c>
      <c r="D78">
        <f>SUMIF('FC Jul 2026 - Sistema'!A:A,B78,'FC Jul 2026 - Sistema'!E:E)</f>
        <v>16</v>
      </c>
      <c r="E78">
        <f t="shared" si="1"/>
        <v>0</v>
      </c>
    </row>
    <row r="79" spans="2:5" hidden="1" x14ac:dyDescent="0.35">
      <c r="B79" t="s">
        <v>127</v>
      </c>
      <c r="D79">
        <f>SUMIF('FC Jul 2026 - Sistema'!A:A,B79,'FC Jul 2026 - Sistema'!E:E)</f>
        <v>0</v>
      </c>
      <c r="E79">
        <f t="shared" si="1"/>
        <v>0</v>
      </c>
    </row>
    <row r="80" spans="2:5" hidden="1" x14ac:dyDescent="0.35">
      <c r="B80" t="s">
        <v>129</v>
      </c>
      <c r="D80">
        <f>SUMIF('FC Jul 2026 - Sistema'!A:A,B80,'FC Jul 2026 - Sistema'!E:E)</f>
        <v>0</v>
      </c>
      <c r="E80">
        <f t="shared" si="1"/>
        <v>0</v>
      </c>
    </row>
    <row r="81" spans="2:5" hidden="1" x14ac:dyDescent="0.35">
      <c r="B81" t="s">
        <v>131</v>
      </c>
      <c r="D81">
        <f>SUMIF('FC Jul 2026 - Sistema'!A:A,B81,'FC Jul 2026 - Sistema'!E:E)</f>
        <v>0</v>
      </c>
      <c r="E81">
        <f t="shared" si="1"/>
        <v>0</v>
      </c>
    </row>
    <row r="82" spans="2:5" hidden="1" x14ac:dyDescent="0.35">
      <c r="B82" t="s">
        <v>133</v>
      </c>
      <c r="D82">
        <f>SUMIF('FC Jul 2026 - Sistema'!A:A,B82,'FC Jul 2026 - Sistema'!E:E)</f>
        <v>0</v>
      </c>
      <c r="E82">
        <f t="shared" si="1"/>
        <v>0</v>
      </c>
    </row>
    <row r="83" spans="2:5" hidden="1" x14ac:dyDescent="0.35">
      <c r="B83" t="s">
        <v>135</v>
      </c>
      <c r="D83">
        <f>SUMIF('FC Jul 2026 - Sistema'!A:A,B83,'FC Jul 2026 - Sistema'!E:E)</f>
        <v>0</v>
      </c>
      <c r="E83">
        <f t="shared" si="1"/>
        <v>0</v>
      </c>
    </row>
    <row r="84" spans="2:5" hidden="1" x14ac:dyDescent="0.35">
      <c r="B84" t="s">
        <v>137</v>
      </c>
      <c r="D84">
        <f>SUMIF('FC Jul 2026 - Sistema'!A:A,B84,'FC Jul 2026 - Sistema'!E:E)</f>
        <v>0</v>
      </c>
      <c r="E84">
        <f t="shared" si="1"/>
        <v>0</v>
      </c>
    </row>
    <row r="85" spans="2:5" hidden="1" x14ac:dyDescent="0.35">
      <c r="B85" t="s">
        <v>139</v>
      </c>
      <c r="C85">
        <v>17</v>
      </c>
      <c r="D85">
        <f>SUMIF('FC Jul 2026 - Sistema'!A:A,B85,'FC Jul 2026 - Sistema'!E:E)</f>
        <v>17</v>
      </c>
      <c r="E85">
        <f t="shared" si="1"/>
        <v>0</v>
      </c>
    </row>
    <row r="86" spans="2:5" hidden="1" x14ac:dyDescent="0.35">
      <c r="B86" t="s">
        <v>141</v>
      </c>
      <c r="D86">
        <f>SUMIF('FC Jul 2026 - Sistema'!A:A,B86,'FC Jul 2026 - Sistema'!E:E)</f>
        <v>0</v>
      </c>
      <c r="E86">
        <f t="shared" si="1"/>
        <v>0</v>
      </c>
    </row>
    <row r="87" spans="2:5" hidden="1" x14ac:dyDescent="0.35">
      <c r="B87" t="s">
        <v>143</v>
      </c>
      <c r="D87">
        <f>SUMIF('FC Jul 2026 - Sistema'!A:A,B87,'FC Jul 2026 - Sistema'!E:E)</f>
        <v>0</v>
      </c>
      <c r="E87">
        <f t="shared" si="1"/>
        <v>0</v>
      </c>
    </row>
    <row r="88" spans="2:5" hidden="1" x14ac:dyDescent="0.35">
      <c r="B88" t="s">
        <v>145</v>
      </c>
      <c r="C88">
        <v>4</v>
      </c>
      <c r="D88">
        <f>SUMIF('FC Jul 2026 - Sistema'!A:A,B88,'FC Jul 2026 - Sistema'!E:E)</f>
        <v>4</v>
      </c>
      <c r="E88">
        <f t="shared" si="1"/>
        <v>0</v>
      </c>
    </row>
    <row r="89" spans="2:5" hidden="1" x14ac:dyDescent="0.35">
      <c r="B89" t="s">
        <v>1902</v>
      </c>
      <c r="D89">
        <f>SUMIF('FC Jul 2026 - Sistema'!A:A,B89,'FC Jul 2026 - Sistema'!E:E)</f>
        <v>0</v>
      </c>
      <c r="E89">
        <f t="shared" si="1"/>
        <v>0</v>
      </c>
    </row>
    <row r="90" spans="2:5" hidden="1" x14ac:dyDescent="0.35">
      <c r="B90" t="s">
        <v>147</v>
      </c>
      <c r="D90">
        <f>SUMIF('FC Jul 2026 - Sistema'!A:A,B90,'FC Jul 2026 - Sistema'!E:E)</f>
        <v>0</v>
      </c>
      <c r="E90">
        <f t="shared" si="1"/>
        <v>0</v>
      </c>
    </row>
    <row r="91" spans="2:5" hidden="1" x14ac:dyDescent="0.35">
      <c r="B91" t="s">
        <v>1903</v>
      </c>
      <c r="D91">
        <f>SUMIF('FC Jul 2026 - Sistema'!A:A,B91,'FC Jul 2026 - Sistema'!E:E)</f>
        <v>0</v>
      </c>
      <c r="E91">
        <f t="shared" si="1"/>
        <v>0</v>
      </c>
    </row>
    <row r="92" spans="2:5" hidden="1" x14ac:dyDescent="0.35">
      <c r="B92" t="s">
        <v>150</v>
      </c>
      <c r="C92">
        <v>95</v>
      </c>
      <c r="D92">
        <f>SUMIF('FC Jul 2026 - Sistema'!A:A,B92,'FC Jul 2026 - Sistema'!E:E)</f>
        <v>95</v>
      </c>
      <c r="E92">
        <f t="shared" si="1"/>
        <v>0</v>
      </c>
    </row>
    <row r="93" spans="2:5" hidden="1" x14ac:dyDescent="0.35">
      <c r="B93" t="s">
        <v>152</v>
      </c>
      <c r="D93">
        <f>SUMIF('FC Jul 2026 - Sistema'!A:A,B93,'FC Jul 2026 - Sistema'!E:E)</f>
        <v>0</v>
      </c>
      <c r="E93">
        <f t="shared" si="1"/>
        <v>0</v>
      </c>
    </row>
    <row r="94" spans="2:5" hidden="1" x14ac:dyDescent="0.35">
      <c r="B94" t="s">
        <v>1904</v>
      </c>
      <c r="D94">
        <f>SUMIF('FC Jul 2026 - Sistema'!A:A,B94,'FC Jul 2026 - Sistema'!E:E)</f>
        <v>0</v>
      </c>
      <c r="E94">
        <f t="shared" si="1"/>
        <v>0</v>
      </c>
    </row>
    <row r="95" spans="2:5" hidden="1" x14ac:dyDescent="0.35">
      <c r="B95" t="s">
        <v>154</v>
      </c>
      <c r="D95">
        <f>SUMIF('FC Jul 2026 - Sistema'!A:A,B95,'FC Jul 2026 - Sistema'!E:E)</f>
        <v>0</v>
      </c>
      <c r="E95">
        <f t="shared" si="1"/>
        <v>0</v>
      </c>
    </row>
    <row r="96" spans="2:5" hidden="1" x14ac:dyDescent="0.35">
      <c r="B96" t="s">
        <v>156</v>
      </c>
      <c r="D96">
        <f>SUMIF('FC Jul 2026 - Sistema'!A:A,B96,'FC Jul 2026 - Sistema'!E:E)</f>
        <v>0</v>
      </c>
      <c r="E96">
        <f t="shared" si="1"/>
        <v>0</v>
      </c>
    </row>
    <row r="97" spans="2:5" hidden="1" x14ac:dyDescent="0.35">
      <c r="B97" t="s">
        <v>1905</v>
      </c>
      <c r="D97">
        <f>SUMIF('FC Jul 2026 - Sistema'!A:A,B97,'FC Jul 2026 - Sistema'!E:E)</f>
        <v>0</v>
      </c>
      <c r="E97">
        <f t="shared" si="1"/>
        <v>0</v>
      </c>
    </row>
    <row r="98" spans="2:5" hidden="1" x14ac:dyDescent="0.35">
      <c r="B98" t="s">
        <v>158</v>
      </c>
      <c r="D98">
        <f>SUMIF('FC Jul 2026 - Sistema'!A:A,B98,'FC Jul 2026 - Sistema'!E:E)</f>
        <v>0</v>
      </c>
      <c r="E98">
        <f t="shared" si="1"/>
        <v>0</v>
      </c>
    </row>
    <row r="99" spans="2:5" hidden="1" x14ac:dyDescent="0.35">
      <c r="B99" t="s">
        <v>160</v>
      </c>
      <c r="D99">
        <f>SUMIF('FC Jul 2026 - Sistema'!A:A,B99,'FC Jul 2026 - Sistema'!E:E)</f>
        <v>0</v>
      </c>
      <c r="E99">
        <f t="shared" si="1"/>
        <v>0</v>
      </c>
    </row>
    <row r="100" spans="2:5" hidden="1" x14ac:dyDescent="0.35">
      <c r="B100" t="s">
        <v>1906</v>
      </c>
      <c r="D100">
        <f>SUMIF('FC Jul 2026 - Sistema'!A:A,B100,'FC Jul 2026 - Sistema'!E:E)</f>
        <v>0</v>
      </c>
      <c r="E100">
        <f t="shared" si="1"/>
        <v>0</v>
      </c>
    </row>
    <row r="101" spans="2:5" hidden="1" x14ac:dyDescent="0.35">
      <c r="B101" t="s">
        <v>162</v>
      </c>
      <c r="C101">
        <v>12</v>
      </c>
      <c r="D101">
        <f>SUMIF('FC Jul 2026 - Sistema'!A:A,B101,'FC Jul 2026 - Sistema'!E:E)</f>
        <v>12</v>
      </c>
      <c r="E101">
        <f t="shared" si="1"/>
        <v>0</v>
      </c>
    </row>
    <row r="102" spans="2:5" hidden="1" x14ac:dyDescent="0.35">
      <c r="B102" t="s">
        <v>164</v>
      </c>
      <c r="C102">
        <v>10</v>
      </c>
      <c r="D102">
        <f>SUMIF('FC Jul 2026 - Sistema'!A:A,B102,'FC Jul 2026 - Sistema'!E:E)</f>
        <v>10</v>
      </c>
      <c r="E102">
        <f t="shared" si="1"/>
        <v>0</v>
      </c>
    </row>
    <row r="103" spans="2:5" hidden="1" x14ac:dyDescent="0.35">
      <c r="B103" t="s">
        <v>166</v>
      </c>
      <c r="C103">
        <v>25</v>
      </c>
      <c r="D103">
        <f>SUMIF('FC Jul 2026 - Sistema'!A:A,B103,'FC Jul 2026 - Sistema'!E:E)</f>
        <v>25</v>
      </c>
      <c r="E103">
        <f t="shared" si="1"/>
        <v>0</v>
      </c>
    </row>
    <row r="104" spans="2:5" hidden="1" x14ac:dyDescent="0.35">
      <c r="B104" t="s">
        <v>168</v>
      </c>
      <c r="C104">
        <v>19</v>
      </c>
      <c r="D104">
        <f>SUMIF('FC Jul 2026 - Sistema'!A:A,B104,'FC Jul 2026 - Sistema'!E:E)</f>
        <v>19</v>
      </c>
      <c r="E104">
        <f t="shared" si="1"/>
        <v>0</v>
      </c>
    </row>
    <row r="105" spans="2:5" hidden="1" x14ac:dyDescent="0.35">
      <c r="B105" t="s">
        <v>170</v>
      </c>
      <c r="C105">
        <v>27</v>
      </c>
      <c r="D105">
        <f>SUMIF('FC Jul 2026 - Sistema'!A:A,B105,'FC Jul 2026 - Sistema'!E:E)</f>
        <v>27</v>
      </c>
      <c r="E105">
        <f t="shared" si="1"/>
        <v>0</v>
      </c>
    </row>
    <row r="106" spans="2:5" hidden="1" x14ac:dyDescent="0.35">
      <c r="B106" t="s">
        <v>172</v>
      </c>
      <c r="C106">
        <v>14</v>
      </c>
      <c r="D106">
        <f>SUMIF('FC Jul 2026 - Sistema'!A:A,B106,'FC Jul 2026 - Sistema'!E:E)</f>
        <v>14</v>
      </c>
      <c r="E106">
        <f t="shared" si="1"/>
        <v>0</v>
      </c>
    </row>
    <row r="107" spans="2:5" hidden="1" x14ac:dyDescent="0.35">
      <c r="B107" t="s">
        <v>174</v>
      </c>
      <c r="C107">
        <v>30</v>
      </c>
      <c r="D107">
        <f>SUMIF('FC Jul 2026 - Sistema'!A:A,B107,'FC Jul 2026 - Sistema'!E:E)</f>
        <v>30</v>
      </c>
      <c r="E107">
        <f t="shared" si="1"/>
        <v>0</v>
      </c>
    </row>
    <row r="108" spans="2:5" hidden="1" x14ac:dyDescent="0.35">
      <c r="B108" t="s">
        <v>176</v>
      </c>
      <c r="C108">
        <v>12</v>
      </c>
      <c r="D108">
        <f>SUMIF('FC Jul 2026 - Sistema'!A:A,B108,'FC Jul 2026 - Sistema'!E:E)</f>
        <v>12</v>
      </c>
      <c r="E108">
        <f t="shared" si="1"/>
        <v>0</v>
      </c>
    </row>
    <row r="109" spans="2:5" hidden="1" x14ac:dyDescent="0.35">
      <c r="B109" t="s">
        <v>178</v>
      </c>
      <c r="C109">
        <v>10</v>
      </c>
      <c r="D109">
        <f>SUMIF('FC Jul 2026 - Sistema'!A:A,B109,'FC Jul 2026 - Sistema'!E:E)</f>
        <v>10</v>
      </c>
      <c r="E109">
        <f t="shared" si="1"/>
        <v>0</v>
      </c>
    </row>
    <row r="110" spans="2:5" hidden="1" x14ac:dyDescent="0.35">
      <c r="B110" t="s">
        <v>180</v>
      </c>
      <c r="C110">
        <v>11</v>
      </c>
      <c r="D110">
        <f>SUMIF('FC Jul 2026 - Sistema'!A:A,B110,'FC Jul 2026 - Sistema'!E:E)</f>
        <v>11</v>
      </c>
      <c r="E110">
        <f t="shared" si="1"/>
        <v>0</v>
      </c>
    </row>
    <row r="111" spans="2:5" hidden="1" x14ac:dyDescent="0.35">
      <c r="B111" t="s">
        <v>182</v>
      </c>
      <c r="D111">
        <f>SUMIF('FC Jul 2026 - Sistema'!A:A,B111,'FC Jul 2026 - Sistema'!E:E)</f>
        <v>0</v>
      </c>
      <c r="E111">
        <f t="shared" si="1"/>
        <v>0</v>
      </c>
    </row>
    <row r="112" spans="2:5" hidden="1" x14ac:dyDescent="0.35">
      <c r="B112" t="s">
        <v>184</v>
      </c>
      <c r="C112">
        <v>32</v>
      </c>
      <c r="D112">
        <f>SUMIF('FC Jul 2026 - Sistema'!A:A,B112,'FC Jul 2026 - Sistema'!E:E)</f>
        <v>32</v>
      </c>
      <c r="E112">
        <f t="shared" si="1"/>
        <v>0</v>
      </c>
    </row>
    <row r="113" spans="2:5" hidden="1" x14ac:dyDescent="0.35">
      <c r="B113" t="s">
        <v>186</v>
      </c>
      <c r="C113">
        <v>14</v>
      </c>
      <c r="D113">
        <f>SUMIF('FC Jul 2026 - Sistema'!A:A,B113,'FC Jul 2026 - Sistema'!E:E)</f>
        <v>14</v>
      </c>
      <c r="E113">
        <f t="shared" si="1"/>
        <v>0</v>
      </c>
    </row>
    <row r="114" spans="2:5" hidden="1" x14ac:dyDescent="0.35">
      <c r="B114" t="s">
        <v>188</v>
      </c>
      <c r="C114">
        <v>10</v>
      </c>
      <c r="D114">
        <f>SUMIF('FC Jul 2026 - Sistema'!A:A,B114,'FC Jul 2026 - Sistema'!E:E)</f>
        <v>10</v>
      </c>
      <c r="E114">
        <f t="shared" si="1"/>
        <v>0</v>
      </c>
    </row>
    <row r="115" spans="2:5" hidden="1" x14ac:dyDescent="0.35">
      <c r="B115" t="s">
        <v>190</v>
      </c>
      <c r="C115">
        <v>3</v>
      </c>
      <c r="D115">
        <f>SUMIF('FC Jul 2026 - Sistema'!A:A,B115,'FC Jul 2026 - Sistema'!E:E)</f>
        <v>3</v>
      </c>
      <c r="E115">
        <f t="shared" si="1"/>
        <v>0</v>
      </c>
    </row>
    <row r="116" spans="2:5" hidden="1" x14ac:dyDescent="0.35">
      <c r="B116" t="s">
        <v>192</v>
      </c>
      <c r="C116">
        <v>15</v>
      </c>
      <c r="D116">
        <f>SUMIF('FC Jul 2026 - Sistema'!A:A,B116,'FC Jul 2026 - Sistema'!E:E)</f>
        <v>15</v>
      </c>
      <c r="E116">
        <f t="shared" si="1"/>
        <v>0</v>
      </c>
    </row>
    <row r="117" spans="2:5" hidden="1" x14ac:dyDescent="0.35">
      <c r="B117" t="s">
        <v>1907</v>
      </c>
      <c r="D117">
        <f>SUMIF('FC Jul 2026 - Sistema'!A:A,B117,'FC Jul 2026 - Sistema'!E:E)</f>
        <v>0</v>
      </c>
      <c r="E117">
        <f t="shared" si="1"/>
        <v>0</v>
      </c>
    </row>
    <row r="118" spans="2:5" hidden="1" x14ac:dyDescent="0.35">
      <c r="B118" t="s">
        <v>1908</v>
      </c>
      <c r="D118">
        <f>SUMIF('FC Jul 2026 - Sistema'!A:A,B118,'FC Jul 2026 - Sistema'!E:E)</f>
        <v>0</v>
      </c>
      <c r="E118">
        <f t="shared" si="1"/>
        <v>0</v>
      </c>
    </row>
    <row r="119" spans="2:5" hidden="1" x14ac:dyDescent="0.35">
      <c r="B119" t="s">
        <v>1909</v>
      </c>
      <c r="D119">
        <f>SUMIF('FC Jul 2026 - Sistema'!A:A,B119,'FC Jul 2026 - Sistema'!E:E)</f>
        <v>0</v>
      </c>
      <c r="E119">
        <f t="shared" si="1"/>
        <v>0</v>
      </c>
    </row>
    <row r="120" spans="2:5" hidden="1" x14ac:dyDescent="0.35">
      <c r="B120" t="s">
        <v>1910</v>
      </c>
      <c r="D120">
        <f>SUMIF('FC Jul 2026 - Sistema'!A:A,B120,'FC Jul 2026 - Sistema'!E:E)</f>
        <v>0</v>
      </c>
      <c r="E120">
        <f t="shared" si="1"/>
        <v>0</v>
      </c>
    </row>
    <row r="121" spans="2:5" hidden="1" x14ac:dyDescent="0.35">
      <c r="B121" t="s">
        <v>1911</v>
      </c>
      <c r="D121">
        <f>SUMIF('FC Jul 2026 - Sistema'!A:A,B121,'FC Jul 2026 - Sistema'!E:E)</f>
        <v>0</v>
      </c>
      <c r="E121">
        <f t="shared" si="1"/>
        <v>0</v>
      </c>
    </row>
    <row r="122" spans="2:5" hidden="1" x14ac:dyDescent="0.35">
      <c r="B122" t="s">
        <v>194</v>
      </c>
      <c r="D122">
        <f>SUMIF('FC Jul 2026 - Sistema'!A:A,B122,'FC Jul 2026 - Sistema'!E:E)</f>
        <v>0</v>
      </c>
      <c r="E122">
        <f t="shared" si="1"/>
        <v>0</v>
      </c>
    </row>
    <row r="123" spans="2:5" hidden="1" x14ac:dyDescent="0.35">
      <c r="B123" t="s">
        <v>196</v>
      </c>
      <c r="D123">
        <f>SUMIF('FC Jul 2026 - Sistema'!A:A,B123,'FC Jul 2026 - Sistema'!E:E)</f>
        <v>0</v>
      </c>
      <c r="E123">
        <f t="shared" si="1"/>
        <v>0</v>
      </c>
    </row>
    <row r="124" spans="2:5" hidden="1" x14ac:dyDescent="0.35">
      <c r="B124" t="s">
        <v>198</v>
      </c>
      <c r="D124">
        <f>SUMIF('FC Jul 2026 - Sistema'!A:A,B124,'FC Jul 2026 - Sistema'!E:E)</f>
        <v>0</v>
      </c>
      <c r="E124">
        <f t="shared" si="1"/>
        <v>0</v>
      </c>
    </row>
    <row r="125" spans="2:5" hidden="1" x14ac:dyDescent="0.35">
      <c r="B125" t="s">
        <v>200</v>
      </c>
      <c r="C125">
        <v>2</v>
      </c>
      <c r="D125">
        <f>SUMIF('FC Jul 2026 - Sistema'!A:A,B125,'FC Jul 2026 - Sistema'!E:E)</f>
        <v>2</v>
      </c>
      <c r="E125">
        <f t="shared" si="1"/>
        <v>0</v>
      </c>
    </row>
    <row r="126" spans="2:5" hidden="1" x14ac:dyDescent="0.35">
      <c r="B126" t="s">
        <v>202</v>
      </c>
      <c r="C126">
        <v>11</v>
      </c>
      <c r="D126">
        <f>SUMIF('FC Jul 2026 - Sistema'!A:A,B126,'FC Jul 2026 - Sistema'!E:E)</f>
        <v>11</v>
      </c>
      <c r="E126">
        <f t="shared" si="1"/>
        <v>0</v>
      </c>
    </row>
    <row r="127" spans="2:5" hidden="1" x14ac:dyDescent="0.35">
      <c r="B127" t="s">
        <v>204</v>
      </c>
      <c r="C127">
        <v>4</v>
      </c>
      <c r="D127">
        <f>SUMIF('FC Jul 2026 - Sistema'!A:A,B127,'FC Jul 2026 - Sistema'!E:E)</f>
        <v>4</v>
      </c>
      <c r="E127">
        <f t="shared" si="1"/>
        <v>0</v>
      </c>
    </row>
    <row r="128" spans="2:5" hidden="1" x14ac:dyDescent="0.35">
      <c r="B128" t="s">
        <v>206</v>
      </c>
      <c r="D128">
        <f>SUMIF('FC Jul 2026 - Sistema'!A:A,B128,'FC Jul 2026 - Sistema'!E:E)</f>
        <v>0</v>
      </c>
      <c r="E128">
        <f t="shared" si="1"/>
        <v>0</v>
      </c>
    </row>
    <row r="129" spans="2:5" hidden="1" x14ac:dyDescent="0.35">
      <c r="B129" t="s">
        <v>208</v>
      </c>
      <c r="D129">
        <f>SUMIF('FC Jul 2026 - Sistema'!A:A,B129,'FC Jul 2026 - Sistema'!E:E)</f>
        <v>0</v>
      </c>
      <c r="E129">
        <f t="shared" si="1"/>
        <v>0</v>
      </c>
    </row>
    <row r="130" spans="2:5" hidden="1" x14ac:dyDescent="0.35">
      <c r="B130" t="s">
        <v>210</v>
      </c>
      <c r="C130">
        <v>16</v>
      </c>
      <c r="D130">
        <f>SUMIF('FC Jul 2026 - Sistema'!A:A,B130,'FC Jul 2026 - Sistema'!E:E)</f>
        <v>16</v>
      </c>
      <c r="E130">
        <f t="shared" si="1"/>
        <v>0</v>
      </c>
    </row>
    <row r="131" spans="2:5" hidden="1" x14ac:dyDescent="0.35">
      <c r="B131" t="s">
        <v>212</v>
      </c>
      <c r="D131">
        <f>SUMIF('FC Jul 2026 - Sistema'!A:A,B131,'FC Jul 2026 - Sistema'!E:E)</f>
        <v>0</v>
      </c>
      <c r="E131">
        <f t="shared" ref="E131:E194" si="2">C131-D131</f>
        <v>0</v>
      </c>
    </row>
    <row r="132" spans="2:5" hidden="1" x14ac:dyDescent="0.35">
      <c r="B132" t="s">
        <v>214</v>
      </c>
      <c r="D132">
        <f>SUMIF('FC Jul 2026 - Sistema'!A:A,B132,'FC Jul 2026 - Sistema'!E:E)</f>
        <v>0</v>
      </c>
      <c r="E132">
        <f t="shared" si="2"/>
        <v>0</v>
      </c>
    </row>
    <row r="133" spans="2:5" hidden="1" x14ac:dyDescent="0.35">
      <c r="B133" t="s">
        <v>216</v>
      </c>
      <c r="D133">
        <f>SUMIF('FC Jul 2026 - Sistema'!A:A,B133,'FC Jul 2026 - Sistema'!E:E)</f>
        <v>0</v>
      </c>
      <c r="E133">
        <f t="shared" si="2"/>
        <v>0</v>
      </c>
    </row>
    <row r="134" spans="2:5" hidden="1" x14ac:dyDescent="0.35">
      <c r="B134" t="s">
        <v>218</v>
      </c>
      <c r="D134">
        <f>SUMIF('FC Jul 2026 - Sistema'!A:A,B134,'FC Jul 2026 - Sistema'!E:E)</f>
        <v>0</v>
      </c>
      <c r="E134">
        <f t="shared" si="2"/>
        <v>0</v>
      </c>
    </row>
    <row r="135" spans="2:5" hidden="1" x14ac:dyDescent="0.35">
      <c r="B135" t="s">
        <v>220</v>
      </c>
      <c r="D135">
        <f>SUMIF('FC Jul 2026 - Sistema'!A:A,B135,'FC Jul 2026 - Sistema'!E:E)</f>
        <v>0</v>
      </c>
      <c r="E135">
        <f t="shared" si="2"/>
        <v>0</v>
      </c>
    </row>
    <row r="136" spans="2:5" hidden="1" x14ac:dyDescent="0.35">
      <c r="B136" t="s">
        <v>222</v>
      </c>
      <c r="D136">
        <f>SUMIF('FC Jul 2026 - Sistema'!A:A,B136,'FC Jul 2026 - Sistema'!E:E)</f>
        <v>0</v>
      </c>
      <c r="E136">
        <f t="shared" si="2"/>
        <v>0</v>
      </c>
    </row>
    <row r="137" spans="2:5" hidden="1" x14ac:dyDescent="0.35">
      <c r="B137" t="s">
        <v>224</v>
      </c>
      <c r="D137">
        <f>SUMIF('FC Jul 2026 - Sistema'!A:A,B137,'FC Jul 2026 - Sistema'!E:E)</f>
        <v>0</v>
      </c>
      <c r="E137">
        <f t="shared" si="2"/>
        <v>0</v>
      </c>
    </row>
    <row r="138" spans="2:5" hidden="1" x14ac:dyDescent="0.35">
      <c r="B138" t="s">
        <v>226</v>
      </c>
      <c r="D138">
        <f>SUMIF('FC Jul 2026 - Sistema'!A:A,B138,'FC Jul 2026 - Sistema'!E:E)</f>
        <v>0</v>
      </c>
      <c r="E138">
        <f t="shared" si="2"/>
        <v>0</v>
      </c>
    </row>
    <row r="139" spans="2:5" hidden="1" x14ac:dyDescent="0.35">
      <c r="B139" t="s">
        <v>228</v>
      </c>
      <c r="D139">
        <f>SUMIF('FC Jul 2026 - Sistema'!A:A,B139,'FC Jul 2026 - Sistema'!E:E)</f>
        <v>0</v>
      </c>
      <c r="E139">
        <f t="shared" si="2"/>
        <v>0</v>
      </c>
    </row>
    <row r="140" spans="2:5" hidden="1" x14ac:dyDescent="0.35">
      <c r="B140" t="s">
        <v>230</v>
      </c>
      <c r="D140">
        <f>SUMIF('FC Jul 2026 - Sistema'!A:A,B140,'FC Jul 2026 - Sistema'!E:E)</f>
        <v>0</v>
      </c>
      <c r="E140">
        <f t="shared" si="2"/>
        <v>0</v>
      </c>
    </row>
    <row r="141" spans="2:5" hidden="1" x14ac:dyDescent="0.35">
      <c r="B141" t="s">
        <v>232</v>
      </c>
      <c r="C141">
        <v>15</v>
      </c>
      <c r="D141">
        <f>SUMIF('FC Jul 2026 - Sistema'!A:A,B141,'FC Jul 2026 - Sistema'!E:E)</f>
        <v>15</v>
      </c>
      <c r="E141">
        <f t="shared" si="2"/>
        <v>0</v>
      </c>
    </row>
    <row r="142" spans="2:5" hidden="1" x14ac:dyDescent="0.35">
      <c r="B142" t="s">
        <v>234</v>
      </c>
      <c r="D142">
        <f>SUMIF('FC Jul 2026 - Sistema'!A:A,B142,'FC Jul 2026 - Sistema'!E:E)</f>
        <v>0</v>
      </c>
      <c r="E142">
        <f t="shared" si="2"/>
        <v>0</v>
      </c>
    </row>
    <row r="143" spans="2:5" hidden="1" x14ac:dyDescent="0.35">
      <c r="B143" t="s">
        <v>236</v>
      </c>
      <c r="C143">
        <v>100</v>
      </c>
      <c r="D143">
        <f>SUMIF('FC Jul 2026 - Sistema'!A:A,B143,'FC Jul 2026 - Sistema'!E:E)</f>
        <v>100</v>
      </c>
      <c r="E143">
        <f t="shared" si="2"/>
        <v>0</v>
      </c>
    </row>
    <row r="144" spans="2:5" hidden="1" x14ac:dyDescent="0.35">
      <c r="B144" t="s">
        <v>1912</v>
      </c>
      <c r="D144">
        <f>SUMIF('FC Jul 2026 - Sistema'!A:A,B144,'FC Jul 2026 - Sistema'!E:E)</f>
        <v>0</v>
      </c>
      <c r="E144">
        <f t="shared" si="2"/>
        <v>0</v>
      </c>
    </row>
    <row r="145" spans="2:5" hidden="1" x14ac:dyDescent="0.35">
      <c r="B145" t="s">
        <v>238</v>
      </c>
      <c r="C145">
        <v>35</v>
      </c>
      <c r="D145">
        <f>SUMIF('FC Jul 2026 - Sistema'!A:A,B145,'FC Jul 2026 - Sistema'!E:E)</f>
        <v>35</v>
      </c>
      <c r="E145">
        <f t="shared" si="2"/>
        <v>0</v>
      </c>
    </row>
    <row r="146" spans="2:5" hidden="1" x14ac:dyDescent="0.35">
      <c r="B146" t="s">
        <v>240</v>
      </c>
      <c r="D146">
        <f>SUMIF('FC Jul 2026 - Sistema'!A:A,B146,'FC Jul 2026 - Sistema'!E:E)</f>
        <v>0</v>
      </c>
      <c r="E146">
        <f t="shared" si="2"/>
        <v>0</v>
      </c>
    </row>
    <row r="147" spans="2:5" hidden="1" x14ac:dyDescent="0.35">
      <c r="B147" t="s">
        <v>242</v>
      </c>
      <c r="D147">
        <f>SUMIF('FC Jul 2026 - Sistema'!A:A,B147,'FC Jul 2026 - Sistema'!E:E)</f>
        <v>0</v>
      </c>
      <c r="E147">
        <f t="shared" si="2"/>
        <v>0</v>
      </c>
    </row>
    <row r="148" spans="2:5" hidden="1" x14ac:dyDescent="0.35">
      <c r="B148" t="s">
        <v>244</v>
      </c>
      <c r="D148">
        <f>SUMIF('FC Jul 2026 - Sistema'!A:A,B148,'FC Jul 2026 - Sistema'!E:E)</f>
        <v>0</v>
      </c>
      <c r="E148">
        <f t="shared" si="2"/>
        <v>0</v>
      </c>
    </row>
    <row r="149" spans="2:5" hidden="1" x14ac:dyDescent="0.35">
      <c r="B149" t="s">
        <v>246</v>
      </c>
      <c r="C149">
        <v>20</v>
      </c>
      <c r="D149">
        <f>SUMIF('FC Jul 2026 - Sistema'!A:A,B149,'FC Jul 2026 - Sistema'!E:E)</f>
        <v>20</v>
      </c>
      <c r="E149">
        <f t="shared" si="2"/>
        <v>0</v>
      </c>
    </row>
    <row r="150" spans="2:5" hidden="1" x14ac:dyDescent="0.35">
      <c r="B150" t="s">
        <v>248</v>
      </c>
      <c r="C150">
        <v>12</v>
      </c>
      <c r="D150">
        <f>SUMIF('FC Jul 2026 - Sistema'!A:A,B150,'FC Jul 2026 - Sistema'!E:E)</f>
        <v>12</v>
      </c>
      <c r="E150">
        <f t="shared" si="2"/>
        <v>0</v>
      </c>
    </row>
    <row r="151" spans="2:5" hidden="1" x14ac:dyDescent="0.35">
      <c r="B151" t="s">
        <v>250</v>
      </c>
      <c r="D151">
        <f>SUMIF('FC Jul 2026 - Sistema'!A:A,B151,'FC Jul 2026 - Sistema'!E:E)</f>
        <v>0</v>
      </c>
      <c r="E151">
        <f t="shared" si="2"/>
        <v>0</v>
      </c>
    </row>
    <row r="152" spans="2:5" hidden="1" x14ac:dyDescent="0.35">
      <c r="B152" t="s">
        <v>252</v>
      </c>
      <c r="C152">
        <v>10</v>
      </c>
      <c r="D152">
        <f>SUMIF('FC Jul 2026 - Sistema'!A:A,B152,'FC Jul 2026 - Sistema'!E:E)</f>
        <v>10</v>
      </c>
      <c r="E152">
        <f t="shared" si="2"/>
        <v>0</v>
      </c>
    </row>
    <row r="153" spans="2:5" hidden="1" x14ac:dyDescent="0.35">
      <c r="B153" t="s">
        <v>254</v>
      </c>
      <c r="C153">
        <v>1</v>
      </c>
      <c r="D153">
        <f>SUMIF('FC Jul 2026 - Sistema'!A:A,B153,'FC Jul 2026 - Sistema'!E:E)</f>
        <v>1</v>
      </c>
      <c r="E153">
        <f t="shared" si="2"/>
        <v>0</v>
      </c>
    </row>
    <row r="154" spans="2:5" hidden="1" x14ac:dyDescent="0.35">
      <c r="B154" t="s">
        <v>256</v>
      </c>
      <c r="C154">
        <v>3</v>
      </c>
      <c r="D154">
        <f>SUMIF('FC Jul 2026 - Sistema'!A:A,B154,'FC Jul 2026 - Sistema'!E:E)</f>
        <v>3</v>
      </c>
      <c r="E154">
        <f t="shared" si="2"/>
        <v>0</v>
      </c>
    </row>
    <row r="155" spans="2:5" hidden="1" x14ac:dyDescent="0.35">
      <c r="B155" t="s">
        <v>258</v>
      </c>
      <c r="C155">
        <v>1</v>
      </c>
      <c r="D155">
        <f>SUMIF('FC Jul 2026 - Sistema'!A:A,B155,'FC Jul 2026 - Sistema'!E:E)</f>
        <v>1</v>
      </c>
      <c r="E155">
        <f t="shared" si="2"/>
        <v>0</v>
      </c>
    </row>
    <row r="156" spans="2:5" hidden="1" x14ac:dyDescent="0.35">
      <c r="B156" t="s">
        <v>260</v>
      </c>
      <c r="C156">
        <v>6</v>
      </c>
      <c r="D156">
        <f>SUMIF('FC Jul 2026 - Sistema'!A:A,B156,'FC Jul 2026 - Sistema'!E:E)</f>
        <v>6</v>
      </c>
      <c r="E156">
        <f t="shared" si="2"/>
        <v>0</v>
      </c>
    </row>
    <row r="157" spans="2:5" hidden="1" x14ac:dyDescent="0.35">
      <c r="B157" t="s">
        <v>262</v>
      </c>
      <c r="C157">
        <v>1</v>
      </c>
      <c r="D157">
        <f>SUMIF('FC Jul 2026 - Sistema'!A:A,B157,'FC Jul 2026 - Sistema'!E:E)</f>
        <v>1</v>
      </c>
      <c r="E157">
        <f t="shared" si="2"/>
        <v>0</v>
      </c>
    </row>
    <row r="158" spans="2:5" hidden="1" x14ac:dyDescent="0.35">
      <c r="B158" t="s">
        <v>264</v>
      </c>
      <c r="C158">
        <v>1</v>
      </c>
      <c r="D158">
        <f>SUMIF('FC Jul 2026 - Sistema'!A:A,B158,'FC Jul 2026 - Sistema'!E:E)</f>
        <v>1</v>
      </c>
      <c r="E158">
        <f t="shared" si="2"/>
        <v>0</v>
      </c>
    </row>
    <row r="159" spans="2:5" hidden="1" x14ac:dyDescent="0.35">
      <c r="B159" t="s">
        <v>266</v>
      </c>
      <c r="C159">
        <v>10</v>
      </c>
      <c r="D159">
        <f>SUMIF('FC Jul 2026 - Sistema'!A:A,B159,'FC Jul 2026 - Sistema'!E:E)</f>
        <v>10</v>
      </c>
      <c r="E159">
        <f t="shared" si="2"/>
        <v>0</v>
      </c>
    </row>
    <row r="160" spans="2:5" hidden="1" x14ac:dyDescent="0.35">
      <c r="B160" t="s">
        <v>268</v>
      </c>
      <c r="C160">
        <v>25</v>
      </c>
      <c r="D160">
        <f>SUMIF('FC Jul 2026 - Sistema'!A:A,B160,'FC Jul 2026 - Sistema'!E:E)</f>
        <v>25</v>
      </c>
      <c r="E160">
        <f t="shared" si="2"/>
        <v>0</v>
      </c>
    </row>
    <row r="161" spans="2:5" hidden="1" x14ac:dyDescent="0.35">
      <c r="B161" t="s">
        <v>1913</v>
      </c>
      <c r="D161">
        <f>SUMIF('FC Jul 2026 - Sistema'!A:A,B161,'FC Jul 2026 - Sistema'!E:E)</f>
        <v>0</v>
      </c>
      <c r="E161">
        <f t="shared" si="2"/>
        <v>0</v>
      </c>
    </row>
    <row r="162" spans="2:5" hidden="1" x14ac:dyDescent="0.35">
      <c r="B162" t="s">
        <v>1914</v>
      </c>
      <c r="D162">
        <f>SUMIF('FC Jul 2026 - Sistema'!A:A,B162,'FC Jul 2026 - Sistema'!E:E)</f>
        <v>0</v>
      </c>
      <c r="E162">
        <f t="shared" si="2"/>
        <v>0</v>
      </c>
    </row>
    <row r="163" spans="2:5" hidden="1" x14ac:dyDescent="0.35">
      <c r="B163" t="s">
        <v>1915</v>
      </c>
      <c r="D163">
        <f>SUMIF('FC Jul 2026 - Sistema'!A:A,B163,'FC Jul 2026 - Sistema'!E:E)</f>
        <v>0</v>
      </c>
      <c r="E163">
        <f t="shared" si="2"/>
        <v>0</v>
      </c>
    </row>
    <row r="164" spans="2:5" hidden="1" x14ac:dyDescent="0.35">
      <c r="B164" t="s">
        <v>270</v>
      </c>
      <c r="C164">
        <v>35</v>
      </c>
      <c r="D164">
        <f>SUMIF('FC Jul 2026 - Sistema'!A:A,B164,'FC Jul 2026 - Sistema'!E:E)</f>
        <v>35</v>
      </c>
      <c r="E164">
        <f t="shared" si="2"/>
        <v>0</v>
      </c>
    </row>
    <row r="165" spans="2:5" hidden="1" x14ac:dyDescent="0.35">
      <c r="B165" t="s">
        <v>272</v>
      </c>
      <c r="C165">
        <v>30</v>
      </c>
      <c r="D165">
        <f>SUMIF('FC Jul 2026 - Sistema'!A:A,B165,'FC Jul 2026 - Sistema'!E:E)</f>
        <v>30</v>
      </c>
      <c r="E165">
        <f t="shared" si="2"/>
        <v>0</v>
      </c>
    </row>
    <row r="166" spans="2:5" hidden="1" x14ac:dyDescent="0.35">
      <c r="B166" t="s">
        <v>1916</v>
      </c>
      <c r="D166">
        <f>SUMIF('FC Jul 2026 - Sistema'!A:A,B166,'FC Jul 2026 - Sistema'!E:E)</f>
        <v>0</v>
      </c>
      <c r="E166">
        <f t="shared" si="2"/>
        <v>0</v>
      </c>
    </row>
    <row r="167" spans="2:5" hidden="1" x14ac:dyDescent="0.35">
      <c r="B167" t="s">
        <v>274</v>
      </c>
      <c r="D167">
        <f>SUMIF('FC Jul 2026 - Sistema'!A:A,B167,'FC Jul 2026 - Sistema'!E:E)</f>
        <v>0</v>
      </c>
      <c r="E167">
        <f t="shared" si="2"/>
        <v>0</v>
      </c>
    </row>
    <row r="168" spans="2:5" hidden="1" x14ac:dyDescent="0.35">
      <c r="B168" t="s">
        <v>276</v>
      </c>
      <c r="C168">
        <v>11</v>
      </c>
      <c r="D168">
        <f>SUMIF('FC Jul 2026 - Sistema'!A:A,B168,'FC Jul 2026 - Sistema'!E:E)</f>
        <v>11</v>
      </c>
      <c r="E168">
        <f t="shared" si="2"/>
        <v>0</v>
      </c>
    </row>
    <row r="169" spans="2:5" hidden="1" x14ac:dyDescent="0.35">
      <c r="B169" t="s">
        <v>278</v>
      </c>
      <c r="C169">
        <v>12</v>
      </c>
      <c r="D169">
        <f>SUMIF('FC Jul 2026 - Sistema'!A:A,B169,'FC Jul 2026 - Sistema'!E:E)</f>
        <v>12</v>
      </c>
      <c r="E169">
        <f t="shared" si="2"/>
        <v>0</v>
      </c>
    </row>
    <row r="170" spans="2:5" hidden="1" x14ac:dyDescent="0.35">
      <c r="B170" t="s">
        <v>280</v>
      </c>
      <c r="D170">
        <f>SUMIF('FC Jul 2026 - Sistema'!A:A,B170,'FC Jul 2026 - Sistema'!E:E)</f>
        <v>0</v>
      </c>
      <c r="E170">
        <f t="shared" si="2"/>
        <v>0</v>
      </c>
    </row>
    <row r="171" spans="2:5" hidden="1" x14ac:dyDescent="0.35">
      <c r="B171" t="s">
        <v>282</v>
      </c>
      <c r="C171">
        <v>15</v>
      </c>
      <c r="D171">
        <f>SUMIF('FC Jul 2026 - Sistema'!A:A,B171,'FC Jul 2026 - Sistema'!E:E)</f>
        <v>15</v>
      </c>
      <c r="E171">
        <f t="shared" si="2"/>
        <v>0</v>
      </c>
    </row>
    <row r="172" spans="2:5" hidden="1" x14ac:dyDescent="0.35">
      <c r="B172" t="s">
        <v>284</v>
      </c>
      <c r="C172">
        <v>16</v>
      </c>
      <c r="D172">
        <f>SUMIF('FC Jul 2026 - Sistema'!A:A,B172,'FC Jul 2026 - Sistema'!E:E)</f>
        <v>16</v>
      </c>
      <c r="E172">
        <f t="shared" si="2"/>
        <v>0</v>
      </c>
    </row>
    <row r="173" spans="2:5" hidden="1" x14ac:dyDescent="0.35">
      <c r="B173" t="s">
        <v>286</v>
      </c>
      <c r="C173">
        <v>10</v>
      </c>
      <c r="D173">
        <f>SUMIF('FC Jul 2026 - Sistema'!A:A,B173,'FC Jul 2026 - Sistema'!E:E)</f>
        <v>10</v>
      </c>
      <c r="E173">
        <f t="shared" si="2"/>
        <v>0</v>
      </c>
    </row>
    <row r="174" spans="2:5" hidden="1" x14ac:dyDescent="0.35">
      <c r="B174" t="s">
        <v>288</v>
      </c>
      <c r="D174">
        <f>SUMIF('FC Jul 2026 - Sistema'!A:A,B174,'FC Jul 2026 - Sistema'!E:E)</f>
        <v>0</v>
      </c>
      <c r="E174">
        <f t="shared" si="2"/>
        <v>0</v>
      </c>
    </row>
    <row r="175" spans="2:5" hidden="1" x14ac:dyDescent="0.35">
      <c r="B175" t="s">
        <v>1917</v>
      </c>
      <c r="D175">
        <f>SUMIF('FC Jul 2026 - Sistema'!A:A,B175,'FC Jul 2026 - Sistema'!E:E)</f>
        <v>0</v>
      </c>
      <c r="E175">
        <f t="shared" si="2"/>
        <v>0</v>
      </c>
    </row>
    <row r="176" spans="2:5" hidden="1" x14ac:dyDescent="0.35">
      <c r="B176" t="s">
        <v>290</v>
      </c>
      <c r="C176">
        <v>7</v>
      </c>
      <c r="D176">
        <f>SUMIF('FC Jul 2026 - Sistema'!A:A,B176,'FC Jul 2026 - Sistema'!E:E)</f>
        <v>7</v>
      </c>
      <c r="E176">
        <f t="shared" si="2"/>
        <v>0</v>
      </c>
    </row>
    <row r="177" spans="2:5" hidden="1" x14ac:dyDescent="0.35">
      <c r="B177" t="s">
        <v>292</v>
      </c>
      <c r="C177">
        <v>8</v>
      </c>
      <c r="D177">
        <f>SUMIF('FC Jul 2026 - Sistema'!A:A,B177,'FC Jul 2026 - Sistema'!E:E)</f>
        <v>8</v>
      </c>
      <c r="E177">
        <f t="shared" si="2"/>
        <v>0</v>
      </c>
    </row>
    <row r="178" spans="2:5" hidden="1" x14ac:dyDescent="0.35">
      <c r="B178" t="s">
        <v>294</v>
      </c>
      <c r="C178">
        <v>9</v>
      </c>
      <c r="D178">
        <f>SUMIF('FC Jul 2026 - Sistema'!A:A,B178,'FC Jul 2026 - Sistema'!E:E)</f>
        <v>9</v>
      </c>
      <c r="E178">
        <f t="shared" si="2"/>
        <v>0</v>
      </c>
    </row>
    <row r="179" spans="2:5" hidden="1" x14ac:dyDescent="0.35">
      <c r="B179" t="s">
        <v>296</v>
      </c>
      <c r="C179">
        <v>1</v>
      </c>
      <c r="D179">
        <f>SUMIF('FC Jul 2026 - Sistema'!A:A,B179,'FC Jul 2026 - Sistema'!E:E)</f>
        <v>1</v>
      </c>
      <c r="E179">
        <f t="shared" si="2"/>
        <v>0</v>
      </c>
    </row>
    <row r="180" spans="2:5" hidden="1" x14ac:dyDescent="0.35">
      <c r="B180" t="s">
        <v>298</v>
      </c>
      <c r="C180">
        <v>3</v>
      </c>
      <c r="D180">
        <f>SUMIF('FC Jul 2026 - Sistema'!A:A,B180,'FC Jul 2026 - Sistema'!E:E)</f>
        <v>3</v>
      </c>
      <c r="E180">
        <f t="shared" si="2"/>
        <v>0</v>
      </c>
    </row>
    <row r="181" spans="2:5" hidden="1" x14ac:dyDescent="0.35">
      <c r="B181" t="s">
        <v>300</v>
      </c>
      <c r="C181">
        <v>4</v>
      </c>
      <c r="D181">
        <f>SUMIF('FC Jul 2026 - Sistema'!A:A,B181,'FC Jul 2026 - Sistema'!E:E)</f>
        <v>4</v>
      </c>
      <c r="E181">
        <f t="shared" si="2"/>
        <v>0</v>
      </c>
    </row>
    <row r="182" spans="2:5" hidden="1" x14ac:dyDescent="0.35">
      <c r="B182" t="s">
        <v>302</v>
      </c>
      <c r="C182">
        <v>14</v>
      </c>
      <c r="D182">
        <f>SUMIF('FC Jul 2026 - Sistema'!A:A,B182,'FC Jul 2026 - Sistema'!E:E)</f>
        <v>14</v>
      </c>
      <c r="E182">
        <f t="shared" si="2"/>
        <v>0</v>
      </c>
    </row>
    <row r="183" spans="2:5" hidden="1" x14ac:dyDescent="0.35">
      <c r="B183" t="s">
        <v>304</v>
      </c>
      <c r="C183">
        <v>80</v>
      </c>
      <c r="D183">
        <f>SUMIF('FC Jul 2026 - Sistema'!A:A,B183,'FC Jul 2026 - Sistema'!E:E)</f>
        <v>80</v>
      </c>
      <c r="E183">
        <f t="shared" si="2"/>
        <v>0</v>
      </c>
    </row>
    <row r="184" spans="2:5" hidden="1" x14ac:dyDescent="0.35">
      <c r="B184" t="s">
        <v>306</v>
      </c>
      <c r="D184">
        <f>SUMIF('FC Jul 2026 - Sistema'!A:A,B184,'FC Jul 2026 - Sistema'!E:E)</f>
        <v>0</v>
      </c>
      <c r="E184">
        <f t="shared" si="2"/>
        <v>0</v>
      </c>
    </row>
    <row r="185" spans="2:5" hidden="1" x14ac:dyDescent="0.35">
      <c r="B185" t="s">
        <v>308</v>
      </c>
      <c r="C185">
        <v>20</v>
      </c>
      <c r="D185">
        <f>SUMIF('FC Jul 2026 - Sistema'!A:A,B185,'FC Jul 2026 - Sistema'!E:E)</f>
        <v>20</v>
      </c>
      <c r="E185">
        <f t="shared" si="2"/>
        <v>0</v>
      </c>
    </row>
    <row r="186" spans="2:5" hidden="1" x14ac:dyDescent="0.35">
      <c r="B186" t="s">
        <v>310</v>
      </c>
      <c r="C186">
        <v>19</v>
      </c>
      <c r="D186">
        <f>SUMIF('FC Jul 2026 - Sistema'!A:A,B186,'FC Jul 2026 - Sistema'!E:E)</f>
        <v>19</v>
      </c>
      <c r="E186">
        <f t="shared" si="2"/>
        <v>0</v>
      </c>
    </row>
    <row r="187" spans="2:5" hidden="1" x14ac:dyDescent="0.35">
      <c r="B187" t="s">
        <v>312</v>
      </c>
      <c r="C187">
        <v>13</v>
      </c>
      <c r="D187">
        <f>SUMIF('FC Jul 2026 - Sistema'!A:A,B187,'FC Jul 2026 - Sistema'!E:E)</f>
        <v>13</v>
      </c>
      <c r="E187">
        <f t="shared" si="2"/>
        <v>0</v>
      </c>
    </row>
    <row r="188" spans="2:5" hidden="1" x14ac:dyDescent="0.35">
      <c r="B188" t="s">
        <v>314</v>
      </c>
      <c r="C188">
        <v>18</v>
      </c>
      <c r="D188">
        <f>SUMIF('FC Jul 2026 - Sistema'!A:A,B188,'FC Jul 2026 - Sistema'!E:E)</f>
        <v>18</v>
      </c>
      <c r="E188">
        <f t="shared" si="2"/>
        <v>0</v>
      </c>
    </row>
    <row r="189" spans="2:5" hidden="1" x14ac:dyDescent="0.35">
      <c r="B189" t="s">
        <v>316</v>
      </c>
      <c r="C189">
        <v>20</v>
      </c>
      <c r="D189">
        <f>SUMIF('FC Jul 2026 - Sistema'!A:A,B189,'FC Jul 2026 - Sistema'!E:E)</f>
        <v>20</v>
      </c>
      <c r="E189">
        <f t="shared" si="2"/>
        <v>0</v>
      </c>
    </row>
    <row r="190" spans="2:5" hidden="1" x14ac:dyDescent="0.35">
      <c r="B190" t="s">
        <v>318</v>
      </c>
      <c r="C190">
        <v>9</v>
      </c>
      <c r="D190">
        <f>SUMIF('FC Jul 2026 - Sistema'!A:A,B190,'FC Jul 2026 - Sistema'!E:E)</f>
        <v>9</v>
      </c>
      <c r="E190">
        <f t="shared" si="2"/>
        <v>0</v>
      </c>
    </row>
    <row r="191" spans="2:5" hidden="1" x14ac:dyDescent="0.35">
      <c r="B191" t="s">
        <v>320</v>
      </c>
      <c r="C191">
        <v>9</v>
      </c>
      <c r="D191">
        <f>SUMIF('FC Jul 2026 - Sistema'!A:A,B191,'FC Jul 2026 - Sistema'!E:E)</f>
        <v>9</v>
      </c>
      <c r="E191">
        <f t="shared" si="2"/>
        <v>0</v>
      </c>
    </row>
    <row r="192" spans="2:5" hidden="1" x14ac:dyDescent="0.35">
      <c r="B192" t="s">
        <v>322</v>
      </c>
      <c r="C192">
        <v>25</v>
      </c>
      <c r="D192">
        <f>SUMIF('FC Jul 2026 - Sistema'!A:A,B192,'FC Jul 2026 - Sistema'!E:E)</f>
        <v>25</v>
      </c>
      <c r="E192">
        <f t="shared" si="2"/>
        <v>0</v>
      </c>
    </row>
    <row r="193" spans="2:5" hidden="1" x14ac:dyDescent="0.35">
      <c r="B193" t="s">
        <v>324</v>
      </c>
      <c r="C193">
        <v>20</v>
      </c>
      <c r="D193">
        <f>SUMIF('FC Jul 2026 - Sistema'!A:A,B193,'FC Jul 2026 - Sistema'!E:E)</f>
        <v>20</v>
      </c>
      <c r="E193">
        <f t="shared" si="2"/>
        <v>0</v>
      </c>
    </row>
    <row r="194" spans="2:5" hidden="1" x14ac:dyDescent="0.35">
      <c r="B194" t="s">
        <v>326</v>
      </c>
      <c r="C194">
        <v>30</v>
      </c>
      <c r="D194">
        <f>SUMIF('FC Jul 2026 - Sistema'!A:A,B194,'FC Jul 2026 - Sistema'!E:E)</f>
        <v>30</v>
      </c>
      <c r="E194">
        <f t="shared" si="2"/>
        <v>0</v>
      </c>
    </row>
    <row r="195" spans="2:5" hidden="1" x14ac:dyDescent="0.35">
      <c r="B195" t="s">
        <v>328</v>
      </c>
      <c r="C195">
        <v>20</v>
      </c>
      <c r="D195">
        <f>SUMIF('FC Jul 2026 - Sistema'!A:A,B195,'FC Jul 2026 - Sistema'!E:E)</f>
        <v>20</v>
      </c>
      <c r="E195">
        <f t="shared" ref="E195:E258" si="3">C195-D195</f>
        <v>0</v>
      </c>
    </row>
    <row r="196" spans="2:5" hidden="1" x14ac:dyDescent="0.35">
      <c r="B196" t="s">
        <v>330</v>
      </c>
      <c r="C196">
        <v>20</v>
      </c>
      <c r="D196">
        <f>SUMIF('FC Jul 2026 - Sistema'!A:A,B196,'FC Jul 2026 - Sistema'!E:E)</f>
        <v>20</v>
      </c>
      <c r="E196">
        <f t="shared" si="3"/>
        <v>0</v>
      </c>
    </row>
    <row r="197" spans="2:5" hidden="1" x14ac:dyDescent="0.35">
      <c r="B197" t="s">
        <v>332</v>
      </c>
      <c r="D197">
        <f>SUMIF('FC Jul 2026 - Sistema'!A:A,B197,'FC Jul 2026 - Sistema'!E:E)</f>
        <v>0</v>
      </c>
      <c r="E197">
        <f t="shared" si="3"/>
        <v>0</v>
      </c>
    </row>
    <row r="198" spans="2:5" hidden="1" x14ac:dyDescent="0.35">
      <c r="B198" t="s">
        <v>334</v>
      </c>
      <c r="C198">
        <v>25</v>
      </c>
      <c r="D198">
        <f>SUMIF('FC Jul 2026 - Sistema'!A:A,B198,'FC Jul 2026 - Sistema'!E:E)</f>
        <v>25</v>
      </c>
      <c r="E198">
        <f t="shared" si="3"/>
        <v>0</v>
      </c>
    </row>
    <row r="199" spans="2:5" hidden="1" x14ac:dyDescent="0.35">
      <c r="B199" t="s">
        <v>336</v>
      </c>
      <c r="C199">
        <v>24</v>
      </c>
      <c r="D199">
        <f>SUMIF('FC Jul 2026 - Sistema'!A:A,B199,'FC Jul 2026 - Sistema'!E:E)</f>
        <v>24</v>
      </c>
      <c r="E199">
        <f t="shared" si="3"/>
        <v>0</v>
      </c>
    </row>
    <row r="200" spans="2:5" hidden="1" x14ac:dyDescent="0.35">
      <c r="B200" t="s">
        <v>338</v>
      </c>
      <c r="C200">
        <v>28</v>
      </c>
      <c r="D200">
        <f>SUMIF('FC Jul 2026 - Sistema'!A:A,B200,'FC Jul 2026 - Sistema'!E:E)</f>
        <v>28</v>
      </c>
      <c r="E200">
        <f t="shared" si="3"/>
        <v>0</v>
      </c>
    </row>
    <row r="201" spans="2:5" hidden="1" x14ac:dyDescent="0.35">
      <c r="B201" t="s">
        <v>340</v>
      </c>
      <c r="C201">
        <v>100</v>
      </c>
      <c r="D201">
        <f>SUMIF('FC Jul 2026 - Sistema'!A:A,B201,'FC Jul 2026 - Sistema'!E:E)</f>
        <v>100</v>
      </c>
      <c r="E201">
        <f t="shared" si="3"/>
        <v>0</v>
      </c>
    </row>
    <row r="202" spans="2:5" hidden="1" x14ac:dyDescent="0.35">
      <c r="B202" t="s">
        <v>343</v>
      </c>
      <c r="C202">
        <v>7</v>
      </c>
      <c r="D202">
        <f>SUMIF('FC Jul 2026 - Sistema'!A:A,B202,'FC Jul 2026 - Sistema'!E:E)</f>
        <v>7</v>
      </c>
      <c r="E202">
        <f t="shared" si="3"/>
        <v>0</v>
      </c>
    </row>
    <row r="203" spans="2:5" hidden="1" x14ac:dyDescent="0.35">
      <c r="B203" t="s">
        <v>345</v>
      </c>
      <c r="C203">
        <v>12</v>
      </c>
      <c r="D203">
        <f>SUMIF('FC Jul 2026 - Sistema'!A:A,B203,'FC Jul 2026 - Sistema'!E:E)</f>
        <v>12</v>
      </c>
      <c r="E203">
        <f t="shared" si="3"/>
        <v>0</v>
      </c>
    </row>
    <row r="204" spans="2:5" hidden="1" x14ac:dyDescent="0.35">
      <c r="B204" t="s">
        <v>347</v>
      </c>
      <c r="C204">
        <v>16</v>
      </c>
      <c r="D204">
        <f>SUMIF('FC Jul 2026 - Sistema'!A:A,B204,'FC Jul 2026 - Sistema'!E:E)</f>
        <v>16</v>
      </c>
      <c r="E204">
        <f t="shared" si="3"/>
        <v>0</v>
      </c>
    </row>
    <row r="205" spans="2:5" hidden="1" x14ac:dyDescent="0.35">
      <c r="B205" t="s">
        <v>349</v>
      </c>
      <c r="C205">
        <v>10</v>
      </c>
      <c r="D205">
        <f>SUMIF('FC Jul 2026 - Sistema'!A:A,B205,'FC Jul 2026 - Sistema'!E:E)</f>
        <v>10</v>
      </c>
      <c r="E205">
        <f t="shared" si="3"/>
        <v>0</v>
      </c>
    </row>
    <row r="206" spans="2:5" hidden="1" x14ac:dyDescent="0.35">
      <c r="B206" t="s">
        <v>351</v>
      </c>
      <c r="C206">
        <v>5</v>
      </c>
      <c r="D206">
        <f>SUMIF('FC Jul 2026 - Sistema'!A:A,B206,'FC Jul 2026 - Sistema'!E:E)</f>
        <v>5</v>
      </c>
      <c r="E206">
        <f t="shared" si="3"/>
        <v>0</v>
      </c>
    </row>
    <row r="207" spans="2:5" hidden="1" x14ac:dyDescent="0.35">
      <c r="B207" t="s">
        <v>353</v>
      </c>
      <c r="C207">
        <v>10</v>
      </c>
      <c r="D207">
        <f>SUMIF('FC Jul 2026 - Sistema'!A:A,B207,'FC Jul 2026 - Sistema'!E:E)</f>
        <v>10</v>
      </c>
      <c r="E207">
        <f t="shared" si="3"/>
        <v>0</v>
      </c>
    </row>
    <row r="208" spans="2:5" hidden="1" x14ac:dyDescent="0.35">
      <c r="B208" t="s">
        <v>355</v>
      </c>
      <c r="D208">
        <f>SUMIF('FC Jul 2026 - Sistema'!A:A,B208,'FC Jul 2026 - Sistema'!E:E)</f>
        <v>0</v>
      </c>
      <c r="E208">
        <f t="shared" si="3"/>
        <v>0</v>
      </c>
    </row>
    <row r="209" spans="2:5" hidden="1" x14ac:dyDescent="0.35">
      <c r="B209" t="s">
        <v>357</v>
      </c>
      <c r="D209">
        <f>SUMIF('FC Jul 2026 - Sistema'!A:A,B209,'FC Jul 2026 - Sistema'!E:E)</f>
        <v>0</v>
      </c>
      <c r="E209">
        <f t="shared" si="3"/>
        <v>0</v>
      </c>
    </row>
    <row r="210" spans="2:5" hidden="1" x14ac:dyDescent="0.35">
      <c r="B210" t="s">
        <v>359</v>
      </c>
      <c r="C210">
        <v>54</v>
      </c>
      <c r="D210">
        <f>SUMIF('FC Jul 2026 - Sistema'!A:A,B210,'FC Jul 2026 - Sistema'!E:E)</f>
        <v>54</v>
      </c>
      <c r="E210">
        <f t="shared" si="3"/>
        <v>0</v>
      </c>
    </row>
    <row r="211" spans="2:5" hidden="1" x14ac:dyDescent="0.35">
      <c r="B211" t="s">
        <v>362</v>
      </c>
      <c r="C211">
        <v>10</v>
      </c>
      <c r="D211">
        <f>SUMIF('FC Jul 2026 - Sistema'!A:A,B211,'FC Jul 2026 - Sistema'!E:E)</f>
        <v>10</v>
      </c>
      <c r="E211">
        <f t="shared" si="3"/>
        <v>0</v>
      </c>
    </row>
    <row r="212" spans="2:5" hidden="1" x14ac:dyDescent="0.35">
      <c r="B212" t="s">
        <v>365</v>
      </c>
      <c r="D212">
        <f>SUMIF('FC Jul 2026 - Sistema'!A:A,B212,'FC Jul 2026 - Sistema'!E:E)</f>
        <v>0</v>
      </c>
      <c r="E212">
        <f t="shared" si="3"/>
        <v>0</v>
      </c>
    </row>
    <row r="213" spans="2:5" hidden="1" x14ac:dyDescent="0.35">
      <c r="B213" t="s">
        <v>367</v>
      </c>
      <c r="D213">
        <f>SUMIF('FC Jul 2026 - Sistema'!A:A,B213,'FC Jul 2026 - Sistema'!E:E)</f>
        <v>0</v>
      </c>
      <c r="E213">
        <f t="shared" si="3"/>
        <v>0</v>
      </c>
    </row>
    <row r="214" spans="2:5" hidden="1" x14ac:dyDescent="0.35">
      <c r="B214" t="s">
        <v>369</v>
      </c>
      <c r="D214">
        <f>SUMIF('FC Jul 2026 - Sistema'!A:A,B214,'FC Jul 2026 - Sistema'!E:E)</f>
        <v>0</v>
      </c>
      <c r="E214">
        <f t="shared" si="3"/>
        <v>0</v>
      </c>
    </row>
    <row r="215" spans="2:5" hidden="1" x14ac:dyDescent="0.35">
      <c r="B215" t="s">
        <v>371</v>
      </c>
      <c r="D215">
        <f>SUMIF('FC Jul 2026 - Sistema'!A:A,B215,'FC Jul 2026 - Sistema'!E:E)</f>
        <v>0</v>
      </c>
      <c r="E215">
        <f t="shared" si="3"/>
        <v>0</v>
      </c>
    </row>
    <row r="216" spans="2:5" hidden="1" x14ac:dyDescent="0.35">
      <c r="B216" t="s">
        <v>373</v>
      </c>
      <c r="D216">
        <f>SUMIF('FC Jul 2026 - Sistema'!A:A,B216,'FC Jul 2026 - Sistema'!E:E)</f>
        <v>0</v>
      </c>
      <c r="E216">
        <f t="shared" si="3"/>
        <v>0</v>
      </c>
    </row>
    <row r="217" spans="2:5" hidden="1" x14ac:dyDescent="0.35">
      <c r="B217" t="s">
        <v>375</v>
      </c>
      <c r="D217">
        <f>SUMIF('FC Jul 2026 - Sistema'!A:A,B217,'FC Jul 2026 - Sistema'!E:E)</f>
        <v>0</v>
      </c>
      <c r="E217">
        <f t="shared" si="3"/>
        <v>0</v>
      </c>
    </row>
    <row r="218" spans="2:5" hidden="1" x14ac:dyDescent="0.35">
      <c r="B218" t="s">
        <v>377</v>
      </c>
      <c r="C218">
        <v>14</v>
      </c>
      <c r="D218">
        <f>SUMIF('FC Jul 2026 - Sistema'!A:A,B218,'FC Jul 2026 - Sistema'!E:E)</f>
        <v>14</v>
      </c>
      <c r="E218">
        <f t="shared" si="3"/>
        <v>0</v>
      </c>
    </row>
    <row r="219" spans="2:5" hidden="1" x14ac:dyDescent="0.35">
      <c r="B219" t="s">
        <v>379</v>
      </c>
      <c r="C219">
        <v>7</v>
      </c>
      <c r="D219">
        <f>SUMIF('FC Jul 2026 - Sistema'!A:A,B219,'FC Jul 2026 - Sistema'!E:E)</f>
        <v>7</v>
      </c>
      <c r="E219">
        <f t="shared" si="3"/>
        <v>0</v>
      </c>
    </row>
    <row r="220" spans="2:5" hidden="1" x14ac:dyDescent="0.35">
      <c r="B220" t="s">
        <v>381</v>
      </c>
      <c r="C220">
        <v>22</v>
      </c>
      <c r="D220">
        <f>SUMIF('FC Jul 2026 - Sistema'!A:A,B220,'FC Jul 2026 - Sistema'!E:E)</f>
        <v>22</v>
      </c>
      <c r="E220">
        <f t="shared" si="3"/>
        <v>0</v>
      </c>
    </row>
    <row r="221" spans="2:5" hidden="1" x14ac:dyDescent="0.35">
      <c r="B221" t="s">
        <v>383</v>
      </c>
      <c r="C221">
        <v>8</v>
      </c>
      <c r="D221">
        <f>SUMIF('FC Jul 2026 - Sistema'!A:A,B221,'FC Jul 2026 - Sistema'!E:E)</f>
        <v>8</v>
      </c>
      <c r="E221">
        <f t="shared" si="3"/>
        <v>0</v>
      </c>
    </row>
    <row r="222" spans="2:5" hidden="1" x14ac:dyDescent="0.35">
      <c r="B222" t="s">
        <v>385</v>
      </c>
      <c r="D222">
        <f>SUMIF('FC Jul 2026 - Sistema'!A:A,B222,'FC Jul 2026 - Sistema'!E:E)</f>
        <v>0</v>
      </c>
      <c r="E222">
        <f t="shared" si="3"/>
        <v>0</v>
      </c>
    </row>
    <row r="223" spans="2:5" hidden="1" x14ac:dyDescent="0.35">
      <c r="B223" t="s">
        <v>1918</v>
      </c>
      <c r="D223">
        <f>SUMIF('FC Jul 2026 - Sistema'!A:A,B223,'FC Jul 2026 - Sistema'!E:E)</f>
        <v>0</v>
      </c>
      <c r="E223">
        <f t="shared" si="3"/>
        <v>0</v>
      </c>
    </row>
    <row r="224" spans="2:5" hidden="1" x14ac:dyDescent="0.35">
      <c r="B224" t="s">
        <v>1919</v>
      </c>
      <c r="D224">
        <f>SUMIF('FC Jul 2026 - Sistema'!A:A,B224,'FC Jul 2026 - Sistema'!E:E)</f>
        <v>0</v>
      </c>
      <c r="E224">
        <f t="shared" si="3"/>
        <v>0</v>
      </c>
    </row>
    <row r="225" spans="2:5" hidden="1" x14ac:dyDescent="0.35">
      <c r="B225" t="s">
        <v>1920</v>
      </c>
      <c r="D225">
        <f>SUMIF('FC Jul 2026 - Sistema'!A:A,B225,'FC Jul 2026 - Sistema'!E:E)</f>
        <v>0</v>
      </c>
      <c r="E225">
        <f t="shared" si="3"/>
        <v>0</v>
      </c>
    </row>
    <row r="226" spans="2:5" hidden="1" x14ac:dyDescent="0.35">
      <c r="B226" t="s">
        <v>1921</v>
      </c>
      <c r="D226">
        <f>SUMIF('FC Jul 2026 - Sistema'!A:A,B226,'FC Jul 2026 - Sistema'!E:E)</f>
        <v>0</v>
      </c>
      <c r="E226">
        <f t="shared" si="3"/>
        <v>0</v>
      </c>
    </row>
    <row r="227" spans="2:5" hidden="1" x14ac:dyDescent="0.35">
      <c r="B227" t="s">
        <v>1922</v>
      </c>
      <c r="D227">
        <f>SUMIF('FC Jul 2026 - Sistema'!A:A,B227,'FC Jul 2026 - Sistema'!E:E)</f>
        <v>0</v>
      </c>
      <c r="E227">
        <f t="shared" si="3"/>
        <v>0</v>
      </c>
    </row>
    <row r="228" spans="2:5" hidden="1" x14ac:dyDescent="0.35">
      <c r="B228" t="s">
        <v>1923</v>
      </c>
      <c r="D228">
        <f>SUMIF('FC Jul 2026 - Sistema'!A:A,B228,'FC Jul 2026 - Sistema'!E:E)</f>
        <v>0</v>
      </c>
      <c r="E228">
        <f t="shared" si="3"/>
        <v>0</v>
      </c>
    </row>
    <row r="229" spans="2:5" hidden="1" x14ac:dyDescent="0.35">
      <c r="B229" t="s">
        <v>1924</v>
      </c>
      <c r="D229">
        <f>SUMIF('FC Jul 2026 - Sistema'!A:A,B229,'FC Jul 2026 - Sistema'!E:E)</f>
        <v>0</v>
      </c>
      <c r="E229">
        <f t="shared" si="3"/>
        <v>0</v>
      </c>
    </row>
    <row r="230" spans="2:5" hidden="1" x14ac:dyDescent="0.35">
      <c r="B230" t="s">
        <v>387</v>
      </c>
      <c r="D230">
        <f>SUMIF('FC Jul 2026 - Sistema'!A:A,B230,'FC Jul 2026 - Sistema'!E:E)</f>
        <v>0</v>
      </c>
      <c r="E230">
        <f t="shared" si="3"/>
        <v>0</v>
      </c>
    </row>
    <row r="231" spans="2:5" hidden="1" x14ac:dyDescent="0.35">
      <c r="B231" t="s">
        <v>389</v>
      </c>
      <c r="D231">
        <f>SUMIF('FC Jul 2026 - Sistema'!A:A,B231,'FC Jul 2026 - Sistema'!E:E)</f>
        <v>0</v>
      </c>
      <c r="E231">
        <f t="shared" si="3"/>
        <v>0</v>
      </c>
    </row>
    <row r="232" spans="2:5" hidden="1" x14ac:dyDescent="0.35">
      <c r="B232" t="s">
        <v>391</v>
      </c>
      <c r="D232">
        <f>SUMIF('FC Jul 2026 - Sistema'!A:A,B232,'FC Jul 2026 - Sistema'!E:E)</f>
        <v>0</v>
      </c>
      <c r="E232">
        <f t="shared" si="3"/>
        <v>0</v>
      </c>
    </row>
    <row r="233" spans="2:5" hidden="1" x14ac:dyDescent="0.35">
      <c r="B233" t="s">
        <v>393</v>
      </c>
      <c r="D233">
        <f>SUMIF('FC Jul 2026 - Sistema'!A:A,B233,'FC Jul 2026 - Sistema'!E:E)</f>
        <v>0</v>
      </c>
      <c r="E233">
        <f t="shared" si="3"/>
        <v>0</v>
      </c>
    </row>
    <row r="234" spans="2:5" hidden="1" x14ac:dyDescent="0.35">
      <c r="B234" t="s">
        <v>395</v>
      </c>
      <c r="D234">
        <f>SUMIF('FC Jul 2026 - Sistema'!A:A,B234,'FC Jul 2026 - Sistema'!E:E)</f>
        <v>0</v>
      </c>
      <c r="E234">
        <f t="shared" si="3"/>
        <v>0</v>
      </c>
    </row>
    <row r="235" spans="2:5" hidden="1" x14ac:dyDescent="0.35">
      <c r="B235" t="s">
        <v>397</v>
      </c>
      <c r="D235">
        <f>SUMIF('FC Jul 2026 - Sistema'!A:A,B235,'FC Jul 2026 - Sistema'!E:E)</f>
        <v>0</v>
      </c>
      <c r="E235">
        <f t="shared" si="3"/>
        <v>0</v>
      </c>
    </row>
    <row r="236" spans="2:5" hidden="1" x14ac:dyDescent="0.35">
      <c r="B236" t="s">
        <v>399</v>
      </c>
      <c r="D236">
        <f>SUMIF('FC Jul 2026 - Sistema'!A:A,B236,'FC Jul 2026 - Sistema'!E:E)</f>
        <v>0</v>
      </c>
      <c r="E236">
        <f t="shared" si="3"/>
        <v>0</v>
      </c>
    </row>
    <row r="237" spans="2:5" hidden="1" x14ac:dyDescent="0.35">
      <c r="B237" t="s">
        <v>401</v>
      </c>
      <c r="D237">
        <f>SUMIF('FC Jul 2026 - Sistema'!A:A,B237,'FC Jul 2026 - Sistema'!E:E)</f>
        <v>0</v>
      </c>
      <c r="E237">
        <f t="shared" si="3"/>
        <v>0</v>
      </c>
    </row>
    <row r="238" spans="2:5" hidden="1" x14ac:dyDescent="0.35">
      <c r="B238" t="s">
        <v>403</v>
      </c>
      <c r="C238">
        <v>30</v>
      </c>
      <c r="D238">
        <f>SUMIF('FC Jul 2026 - Sistema'!A:A,B238,'FC Jul 2026 - Sistema'!E:E)</f>
        <v>30</v>
      </c>
      <c r="E238">
        <f t="shared" si="3"/>
        <v>0</v>
      </c>
    </row>
    <row r="239" spans="2:5" hidden="1" x14ac:dyDescent="0.35">
      <c r="B239" t="s">
        <v>405</v>
      </c>
      <c r="C239">
        <v>30</v>
      </c>
      <c r="D239">
        <f>SUMIF('FC Jul 2026 - Sistema'!A:A,B239,'FC Jul 2026 - Sistema'!E:E)</f>
        <v>30</v>
      </c>
      <c r="E239">
        <f t="shared" si="3"/>
        <v>0</v>
      </c>
    </row>
    <row r="240" spans="2:5" hidden="1" x14ac:dyDescent="0.35">
      <c r="B240" t="s">
        <v>407</v>
      </c>
      <c r="D240">
        <f>SUMIF('FC Jul 2026 - Sistema'!A:A,B240,'FC Jul 2026 - Sistema'!E:E)</f>
        <v>0</v>
      </c>
      <c r="E240">
        <f t="shared" si="3"/>
        <v>0</v>
      </c>
    </row>
    <row r="241" spans="2:5" hidden="1" x14ac:dyDescent="0.35">
      <c r="B241" t="s">
        <v>409</v>
      </c>
      <c r="C241">
        <v>30</v>
      </c>
      <c r="D241">
        <f>SUMIF('FC Jul 2026 - Sistema'!A:A,B241,'FC Jul 2026 - Sistema'!E:E)</f>
        <v>30</v>
      </c>
      <c r="E241">
        <f t="shared" si="3"/>
        <v>0</v>
      </c>
    </row>
    <row r="242" spans="2:5" hidden="1" x14ac:dyDescent="0.35">
      <c r="B242" t="s">
        <v>1925</v>
      </c>
      <c r="D242">
        <f>SUMIF('FC Jul 2026 - Sistema'!A:A,B242,'FC Jul 2026 - Sistema'!E:E)</f>
        <v>0</v>
      </c>
      <c r="E242">
        <f t="shared" si="3"/>
        <v>0</v>
      </c>
    </row>
    <row r="243" spans="2:5" hidden="1" x14ac:dyDescent="0.35">
      <c r="B243" t="s">
        <v>411</v>
      </c>
      <c r="C243">
        <v>8</v>
      </c>
      <c r="D243">
        <f>SUMIF('FC Jul 2026 - Sistema'!A:A,B243,'FC Jul 2026 - Sistema'!E:E)</f>
        <v>8</v>
      </c>
      <c r="E243">
        <f t="shared" si="3"/>
        <v>0</v>
      </c>
    </row>
    <row r="244" spans="2:5" hidden="1" x14ac:dyDescent="0.35">
      <c r="B244" t="s">
        <v>413</v>
      </c>
      <c r="D244">
        <f>SUMIF('FC Jul 2026 - Sistema'!A:A,B244,'FC Jul 2026 - Sistema'!E:E)</f>
        <v>0</v>
      </c>
      <c r="E244">
        <f t="shared" si="3"/>
        <v>0</v>
      </c>
    </row>
    <row r="245" spans="2:5" hidden="1" x14ac:dyDescent="0.35">
      <c r="B245" t="s">
        <v>415</v>
      </c>
      <c r="D245">
        <f>SUMIF('FC Jul 2026 - Sistema'!A:A,B245,'FC Jul 2026 - Sistema'!E:E)</f>
        <v>0</v>
      </c>
      <c r="E245">
        <f t="shared" si="3"/>
        <v>0</v>
      </c>
    </row>
    <row r="246" spans="2:5" hidden="1" x14ac:dyDescent="0.35">
      <c r="B246" t="s">
        <v>417</v>
      </c>
      <c r="D246">
        <f>SUMIF('FC Jul 2026 - Sistema'!A:A,B246,'FC Jul 2026 - Sistema'!E:E)</f>
        <v>0</v>
      </c>
      <c r="E246">
        <f t="shared" si="3"/>
        <v>0</v>
      </c>
    </row>
    <row r="247" spans="2:5" hidden="1" x14ac:dyDescent="0.35">
      <c r="B247" t="s">
        <v>419</v>
      </c>
      <c r="D247">
        <f>SUMIF('FC Jul 2026 - Sistema'!A:A,B247,'FC Jul 2026 - Sistema'!E:E)</f>
        <v>0</v>
      </c>
      <c r="E247">
        <f t="shared" si="3"/>
        <v>0</v>
      </c>
    </row>
    <row r="248" spans="2:5" hidden="1" x14ac:dyDescent="0.35">
      <c r="B248" t="s">
        <v>421</v>
      </c>
      <c r="D248">
        <f>SUMIF('FC Jul 2026 - Sistema'!A:A,B248,'FC Jul 2026 - Sistema'!E:E)</f>
        <v>0</v>
      </c>
      <c r="E248">
        <f t="shared" si="3"/>
        <v>0</v>
      </c>
    </row>
    <row r="249" spans="2:5" hidden="1" x14ac:dyDescent="0.35">
      <c r="B249" t="s">
        <v>423</v>
      </c>
      <c r="D249">
        <f>SUMIF('FC Jul 2026 - Sistema'!A:A,B249,'FC Jul 2026 - Sistema'!E:E)</f>
        <v>0</v>
      </c>
      <c r="E249">
        <f t="shared" si="3"/>
        <v>0</v>
      </c>
    </row>
    <row r="250" spans="2:5" hidden="1" x14ac:dyDescent="0.35">
      <c r="B250" t="s">
        <v>425</v>
      </c>
      <c r="C250">
        <v>1</v>
      </c>
      <c r="D250">
        <f>SUMIF('FC Jul 2026 - Sistema'!A:A,B250,'FC Jul 2026 - Sistema'!E:E)</f>
        <v>1</v>
      </c>
      <c r="E250">
        <f t="shared" si="3"/>
        <v>0</v>
      </c>
    </row>
    <row r="251" spans="2:5" hidden="1" x14ac:dyDescent="0.35">
      <c r="B251" t="s">
        <v>427</v>
      </c>
      <c r="D251">
        <f>SUMIF('FC Jul 2026 - Sistema'!A:A,B251,'FC Jul 2026 - Sistema'!E:E)</f>
        <v>0</v>
      </c>
      <c r="E251">
        <f t="shared" si="3"/>
        <v>0</v>
      </c>
    </row>
    <row r="252" spans="2:5" hidden="1" x14ac:dyDescent="0.35">
      <c r="B252" t="s">
        <v>431</v>
      </c>
      <c r="D252">
        <f>SUMIF('FC Jul 2026 - Sistema'!A:A,B252,'FC Jul 2026 - Sistema'!E:E)</f>
        <v>0</v>
      </c>
      <c r="E252">
        <f t="shared" si="3"/>
        <v>0</v>
      </c>
    </row>
    <row r="253" spans="2:5" hidden="1" x14ac:dyDescent="0.35">
      <c r="B253" t="s">
        <v>433</v>
      </c>
      <c r="C253">
        <v>2</v>
      </c>
      <c r="D253">
        <f>SUMIF('FC Jul 2026 - Sistema'!A:A,B253,'FC Jul 2026 - Sistema'!E:E)</f>
        <v>2</v>
      </c>
      <c r="E253">
        <f t="shared" si="3"/>
        <v>0</v>
      </c>
    </row>
    <row r="254" spans="2:5" hidden="1" x14ac:dyDescent="0.35">
      <c r="B254" t="s">
        <v>435</v>
      </c>
      <c r="C254">
        <v>20</v>
      </c>
      <c r="D254">
        <f>SUMIF('FC Jul 2026 - Sistema'!A:A,B254,'FC Jul 2026 - Sistema'!E:E)</f>
        <v>20</v>
      </c>
      <c r="E254">
        <f t="shared" si="3"/>
        <v>0</v>
      </c>
    </row>
    <row r="255" spans="2:5" hidden="1" x14ac:dyDescent="0.35">
      <c r="B255" t="s">
        <v>437</v>
      </c>
      <c r="C255">
        <v>6</v>
      </c>
      <c r="D255">
        <f>SUMIF('FC Jul 2026 - Sistema'!A:A,B255,'FC Jul 2026 - Sistema'!E:E)</f>
        <v>6</v>
      </c>
      <c r="E255">
        <f t="shared" si="3"/>
        <v>0</v>
      </c>
    </row>
    <row r="256" spans="2:5" hidden="1" x14ac:dyDescent="0.35">
      <c r="B256" t="s">
        <v>439</v>
      </c>
      <c r="D256">
        <f>SUMIF('FC Jul 2026 - Sistema'!A:A,B256,'FC Jul 2026 - Sistema'!E:E)</f>
        <v>0</v>
      </c>
      <c r="E256">
        <f t="shared" si="3"/>
        <v>0</v>
      </c>
    </row>
    <row r="257" spans="2:5" hidden="1" x14ac:dyDescent="0.35">
      <c r="B257" t="s">
        <v>441</v>
      </c>
      <c r="D257">
        <f>SUMIF('FC Jul 2026 - Sistema'!A:A,B257,'FC Jul 2026 - Sistema'!E:E)</f>
        <v>0</v>
      </c>
      <c r="E257">
        <f t="shared" si="3"/>
        <v>0</v>
      </c>
    </row>
    <row r="258" spans="2:5" hidden="1" x14ac:dyDescent="0.35">
      <c r="B258" t="s">
        <v>1926</v>
      </c>
      <c r="D258">
        <f>SUMIF('FC Jul 2026 - Sistema'!A:A,B258,'FC Jul 2026 - Sistema'!E:E)</f>
        <v>0</v>
      </c>
      <c r="E258">
        <f t="shared" si="3"/>
        <v>0</v>
      </c>
    </row>
    <row r="259" spans="2:5" hidden="1" x14ac:dyDescent="0.35">
      <c r="B259" t="s">
        <v>443</v>
      </c>
      <c r="C259">
        <v>9</v>
      </c>
      <c r="D259">
        <f>SUMIF('FC Jul 2026 - Sistema'!A:A,B259,'FC Jul 2026 - Sistema'!E:E)</f>
        <v>9</v>
      </c>
      <c r="E259">
        <f t="shared" ref="E259:E322" si="4">C259-D259</f>
        <v>0</v>
      </c>
    </row>
    <row r="260" spans="2:5" hidden="1" x14ac:dyDescent="0.35">
      <c r="B260" t="s">
        <v>445</v>
      </c>
      <c r="D260">
        <f>SUMIF('FC Jul 2026 - Sistema'!A:A,B260,'FC Jul 2026 - Sistema'!E:E)</f>
        <v>0</v>
      </c>
      <c r="E260">
        <f t="shared" si="4"/>
        <v>0</v>
      </c>
    </row>
    <row r="261" spans="2:5" hidden="1" x14ac:dyDescent="0.35">
      <c r="B261" t="s">
        <v>447</v>
      </c>
      <c r="C261">
        <v>1</v>
      </c>
      <c r="D261">
        <f>SUMIF('FC Jul 2026 - Sistema'!A:A,B261,'FC Jul 2026 - Sistema'!E:E)</f>
        <v>1</v>
      </c>
      <c r="E261">
        <f t="shared" si="4"/>
        <v>0</v>
      </c>
    </row>
    <row r="262" spans="2:5" hidden="1" x14ac:dyDescent="0.35">
      <c r="B262" t="s">
        <v>449</v>
      </c>
      <c r="D262">
        <f>SUMIF('FC Jul 2026 - Sistema'!A:A,B262,'FC Jul 2026 - Sistema'!E:E)</f>
        <v>0</v>
      </c>
      <c r="E262">
        <f t="shared" si="4"/>
        <v>0</v>
      </c>
    </row>
    <row r="263" spans="2:5" hidden="1" x14ac:dyDescent="0.35">
      <c r="B263" t="s">
        <v>451</v>
      </c>
      <c r="D263">
        <f>SUMIF('FC Jul 2026 - Sistema'!A:A,B263,'FC Jul 2026 - Sistema'!E:E)</f>
        <v>0</v>
      </c>
      <c r="E263">
        <f t="shared" si="4"/>
        <v>0</v>
      </c>
    </row>
    <row r="264" spans="2:5" hidden="1" x14ac:dyDescent="0.35">
      <c r="B264" t="s">
        <v>453</v>
      </c>
      <c r="D264">
        <f>SUMIF('FC Jul 2026 - Sistema'!A:A,B264,'FC Jul 2026 - Sistema'!E:E)</f>
        <v>0</v>
      </c>
      <c r="E264">
        <f t="shared" si="4"/>
        <v>0</v>
      </c>
    </row>
    <row r="265" spans="2:5" hidden="1" x14ac:dyDescent="0.35">
      <c r="B265" t="s">
        <v>455</v>
      </c>
      <c r="D265">
        <f>SUMIF('FC Jul 2026 - Sistema'!A:A,B265,'FC Jul 2026 - Sistema'!E:E)</f>
        <v>0</v>
      </c>
      <c r="E265">
        <f t="shared" si="4"/>
        <v>0</v>
      </c>
    </row>
    <row r="266" spans="2:5" hidden="1" x14ac:dyDescent="0.35">
      <c r="B266" t="s">
        <v>457</v>
      </c>
      <c r="C266">
        <v>6</v>
      </c>
      <c r="D266">
        <f>SUMIF('FC Jul 2026 - Sistema'!A:A,B266,'FC Jul 2026 - Sistema'!E:E)</f>
        <v>6</v>
      </c>
      <c r="E266">
        <f t="shared" si="4"/>
        <v>0</v>
      </c>
    </row>
    <row r="267" spans="2:5" hidden="1" x14ac:dyDescent="0.35">
      <c r="B267" t="s">
        <v>459</v>
      </c>
      <c r="D267">
        <f>SUMIF('FC Jul 2026 - Sistema'!A:A,B267,'FC Jul 2026 - Sistema'!E:E)</f>
        <v>0</v>
      </c>
      <c r="E267">
        <f t="shared" si="4"/>
        <v>0</v>
      </c>
    </row>
    <row r="268" spans="2:5" hidden="1" x14ac:dyDescent="0.35">
      <c r="B268" t="s">
        <v>461</v>
      </c>
      <c r="D268">
        <f>SUMIF('FC Jul 2026 - Sistema'!A:A,B268,'FC Jul 2026 - Sistema'!E:E)</f>
        <v>0</v>
      </c>
      <c r="E268">
        <f t="shared" si="4"/>
        <v>0</v>
      </c>
    </row>
    <row r="269" spans="2:5" hidden="1" x14ac:dyDescent="0.35">
      <c r="B269" t="s">
        <v>1927</v>
      </c>
      <c r="D269">
        <f>SUMIF('FC Jul 2026 - Sistema'!A:A,B269,'FC Jul 2026 - Sistema'!E:E)</f>
        <v>0</v>
      </c>
      <c r="E269">
        <f t="shared" si="4"/>
        <v>0</v>
      </c>
    </row>
    <row r="270" spans="2:5" hidden="1" x14ac:dyDescent="0.35">
      <c r="B270" t="s">
        <v>463</v>
      </c>
      <c r="C270">
        <v>5</v>
      </c>
      <c r="D270">
        <f>SUMIF('FC Jul 2026 - Sistema'!A:A,B270,'FC Jul 2026 - Sistema'!E:E)</f>
        <v>5</v>
      </c>
      <c r="E270">
        <f t="shared" si="4"/>
        <v>0</v>
      </c>
    </row>
    <row r="271" spans="2:5" hidden="1" x14ac:dyDescent="0.35">
      <c r="B271" t="s">
        <v>465</v>
      </c>
      <c r="C271">
        <v>4</v>
      </c>
      <c r="D271">
        <f>SUMIF('FC Jul 2026 - Sistema'!A:A,B271,'FC Jul 2026 - Sistema'!E:E)</f>
        <v>4</v>
      </c>
      <c r="E271">
        <f t="shared" si="4"/>
        <v>0</v>
      </c>
    </row>
    <row r="272" spans="2:5" hidden="1" x14ac:dyDescent="0.35">
      <c r="B272" t="s">
        <v>1928</v>
      </c>
      <c r="D272">
        <f>SUMIF('FC Jul 2026 - Sistema'!A:A,B272,'FC Jul 2026 - Sistema'!E:E)</f>
        <v>0</v>
      </c>
      <c r="E272">
        <f t="shared" si="4"/>
        <v>0</v>
      </c>
    </row>
    <row r="273" spans="2:5" hidden="1" x14ac:dyDescent="0.35">
      <c r="B273" t="s">
        <v>1929</v>
      </c>
      <c r="D273">
        <f>SUMIF('FC Jul 2026 - Sistema'!A:A,B273,'FC Jul 2026 - Sistema'!E:E)</f>
        <v>0</v>
      </c>
      <c r="E273">
        <f t="shared" si="4"/>
        <v>0</v>
      </c>
    </row>
    <row r="274" spans="2:5" hidden="1" x14ac:dyDescent="0.35">
      <c r="B274" t="s">
        <v>1930</v>
      </c>
      <c r="D274">
        <f>SUMIF('FC Jul 2026 - Sistema'!A:A,B274,'FC Jul 2026 - Sistema'!E:E)</f>
        <v>0</v>
      </c>
      <c r="E274">
        <f t="shared" si="4"/>
        <v>0</v>
      </c>
    </row>
    <row r="275" spans="2:5" hidden="1" x14ac:dyDescent="0.35">
      <c r="B275" t="s">
        <v>1931</v>
      </c>
      <c r="D275">
        <f>SUMIF('FC Jul 2026 - Sistema'!A:A,B275,'FC Jul 2026 - Sistema'!E:E)</f>
        <v>0</v>
      </c>
      <c r="E275">
        <f t="shared" si="4"/>
        <v>0</v>
      </c>
    </row>
    <row r="276" spans="2:5" hidden="1" x14ac:dyDescent="0.35">
      <c r="B276" t="s">
        <v>1932</v>
      </c>
      <c r="D276">
        <f>SUMIF('FC Jul 2026 - Sistema'!A:A,B276,'FC Jul 2026 - Sistema'!E:E)</f>
        <v>0</v>
      </c>
      <c r="E276">
        <f t="shared" si="4"/>
        <v>0</v>
      </c>
    </row>
    <row r="277" spans="2:5" hidden="1" x14ac:dyDescent="0.35">
      <c r="B277" t="s">
        <v>1933</v>
      </c>
      <c r="D277">
        <f>SUMIF('FC Jul 2026 - Sistema'!A:A,B277,'FC Jul 2026 - Sistema'!E:E)</f>
        <v>0</v>
      </c>
      <c r="E277">
        <f t="shared" si="4"/>
        <v>0</v>
      </c>
    </row>
    <row r="278" spans="2:5" hidden="1" x14ac:dyDescent="0.35">
      <c r="B278" t="s">
        <v>1934</v>
      </c>
      <c r="D278">
        <f>SUMIF('FC Jul 2026 - Sistema'!A:A,B278,'FC Jul 2026 - Sistema'!E:E)</f>
        <v>0</v>
      </c>
      <c r="E278">
        <f t="shared" si="4"/>
        <v>0</v>
      </c>
    </row>
    <row r="279" spans="2:5" hidden="1" x14ac:dyDescent="0.35">
      <c r="B279" t="s">
        <v>1935</v>
      </c>
      <c r="D279">
        <f>SUMIF('FC Jul 2026 - Sistema'!A:A,B279,'FC Jul 2026 - Sistema'!E:E)</f>
        <v>0</v>
      </c>
      <c r="E279">
        <f t="shared" si="4"/>
        <v>0</v>
      </c>
    </row>
    <row r="280" spans="2:5" hidden="1" x14ac:dyDescent="0.35">
      <c r="B280" t="s">
        <v>1936</v>
      </c>
      <c r="D280">
        <f>SUMIF('FC Jul 2026 - Sistema'!A:A,B280,'FC Jul 2026 - Sistema'!E:E)</f>
        <v>0</v>
      </c>
      <c r="E280">
        <f t="shared" si="4"/>
        <v>0</v>
      </c>
    </row>
    <row r="281" spans="2:5" hidden="1" x14ac:dyDescent="0.35">
      <c r="B281" t="s">
        <v>1937</v>
      </c>
      <c r="D281">
        <f>SUMIF('FC Jul 2026 - Sistema'!A:A,B281,'FC Jul 2026 - Sistema'!E:E)</f>
        <v>0</v>
      </c>
      <c r="E281">
        <f t="shared" si="4"/>
        <v>0</v>
      </c>
    </row>
    <row r="282" spans="2:5" hidden="1" x14ac:dyDescent="0.35">
      <c r="B282" t="s">
        <v>1938</v>
      </c>
      <c r="D282">
        <f>SUMIF('FC Jul 2026 - Sistema'!A:A,B282,'FC Jul 2026 - Sistema'!E:E)</f>
        <v>0</v>
      </c>
      <c r="E282">
        <f t="shared" si="4"/>
        <v>0</v>
      </c>
    </row>
    <row r="283" spans="2:5" hidden="1" x14ac:dyDescent="0.35">
      <c r="B283" t="s">
        <v>1939</v>
      </c>
      <c r="D283">
        <f>SUMIF('FC Jul 2026 - Sistema'!A:A,B283,'FC Jul 2026 - Sistema'!E:E)</f>
        <v>0</v>
      </c>
      <c r="E283">
        <f t="shared" si="4"/>
        <v>0</v>
      </c>
    </row>
    <row r="284" spans="2:5" hidden="1" x14ac:dyDescent="0.35">
      <c r="B284" t="s">
        <v>1940</v>
      </c>
      <c r="D284">
        <f>SUMIF('FC Jul 2026 - Sistema'!A:A,B284,'FC Jul 2026 - Sistema'!E:E)</f>
        <v>0</v>
      </c>
      <c r="E284">
        <f t="shared" si="4"/>
        <v>0</v>
      </c>
    </row>
    <row r="285" spans="2:5" hidden="1" x14ac:dyDescent="0.35">
      <c r="B285" t="s">
        <v>1941</v>
      </c>
      <c r="D285">
        <f>SUMIF('FC Jul 2026 - Sistema'!A:A,B285,'FC Jul 2026 - Sistema'!E:E)</f>
        <v>0</v>
      </c>
      <c r="E285">
        <f t="shared" si="4"/>
        <v>0</v>
      </c>
    </row>
    <row r="286" spans="2:5" hidden="1" x14ac:dyDescent="0.35">
      <c r="B286" t="s">
        <v>1942</v>
      </c>
      <c r="D286">
        <f>SUMIF('FC Jul 2026 - Sistema'!A:A,B286,'FC Jul 2026 - Sistema'!E:E)</f>
        <v>0</v>
      </c>
      <c r="E286">
        <f t="shared" si="4"/>
        <v>0</v>
      </c>
    </row>
    <row r="287" spans="2:5" hidden="1" x14ac:dyDescent="0.35">
      <c r="B287" t="s">
        <v>1943</v>
      </c>
      <c r="D287">
        <f>SUMIF('FC Jul 2026 - Sistema'!A:A,B287,'FC Jul 2026 - Sistema'!E:E)</f>
        <v>0</v>
      </c>
      <c r="E287">
        <f t="shared" si="4"/>
        <v>0</v>
      </c>
    </row>
    <row r="288" spans="2:5" hidden="1" x14ac:dyDescent="0.35">
      <c r="B288" t="s">
        <v>1944</v>
      </c>
      <c r="D288">
        <f>SUMIF('FC Jul 2026 - Sistema'!A:A,B288,'FC Jul 2026 - Sistema'!E:E)</f>
        <v>0</v>
      </c>
      <c r="E288">
        <f t="shared" si="4"/>
        <v>0</v>
      </c>
    </row>
    <row r="289" spans="2:5" hidden="1" x14ac:dyDescent="0.35">
      <c r="B289" t="s">
        <v>1945</v>
      </c>
      <c r="D289">
        <f>SUMIF('FC Jul 2026 - Sistema'!A:A,B289,'FC Jul 2026 - Sistema'!E:E)</f>
        <v>0</v>
      </c>
      <c r="E289">
        <f t="shared" si="4"/>
        <v>0</v>
      </c>
    </row>
    <row r="290" spans="2:5" hidden="1" x14ac:dyDescent="0.35">
      <c r="B290" t="s">
        <v>1946</v>
      </c>
      <c r="D290">
        <f>SUMIF('FC Jul 2026 - Sistema'!A:A,B290,'FC Jul 2026 - Sistema'!E:E)</f>
        <v>0</v>
      </c>
      <c r="E290">
        <f t="shared" si="4"/>
        <v>0</v>
      </c>
    </row>
    <row r="291" spans="2:5" hidden="1" x14ac:dyDescent="0.35">
      <c r="B291" t="s">
        <v>1947</v>
      </c>
      <c r="D291">
        <f>SUMIF('FC Jul 2026 - Sistema'!A:A,B291,'FC Jul 2026 - Sistema'!E:E)</f>
        <v>0</v>
      </c>
      <c r="E291">
        <f t="shared" si="4"/>
        <v>0</v>
      </c>
    </row>
    <row r="292" spans="2:5" hidden="1" x14ac:dyDescent="0.35">
      <c r="B292" t="s">
        <v>1948</v>
      </c>
      <c r="D292">
        <f>SUMIF('FC Jul 2026 - Sistema'!A:A,B292,'FC Jul 2026 - Sistema'!E:E)</f>
        <v>0</v>
      </c>
      <c r="E292">
        <f t="shared" si="4"/>
        <v>0</v>
      </c>
    </row>
    <row r="293" spans="2:5" hidden="1" x14ac:dyDescent="0.35">
      <c r="B293" t="s">
        <v>1949</v>
      </c>
      <c r="D293">
        <f>SUMIF('FC Jul 2026 - Sistema'!A:A,B293,'FC Jul 2026 - Sistema'!E:E)</f>
        <v>0</v>
      </c>
      <c r="E293">
        <f t="shared" si="4"/>
        <v>0</v>
      </c>
    </row>
    <row r="294" spans="2:5" hidden="1" x14ac:dyDescent="0.35">
      <c r="B294" t="s">
        <v>1950</v>
      </c>
      <c r="D294">
        <f>SUMIF('FC Jul 2026 - Sistema'!A:A,B294,'FC Jul 2026 - Sistema'!E:E)</f>
        <v>0</v>
      </c>
      <c r="E294">
        <f t="shared" si="4"/>
        <v>0</v>
      </c>
    </row>
    <row r="295" spans="2:5" hidden="1" x14ac:dyDescent="0.35">
      <c r="B295" t="s">
        <v>1951</v>
      </c>
      <c r="D295">
        <f>SUMIF('FC Jul 2026 - Sistema'!A:A,B295,'FC Jul 2026 - Sistema'!E:E)</f>
        <v>0</v>
      </c>
      <c r="E295">
        <f t="shared" si="4"/>
        <v>0</v>
      </c>
    </row>
    <row r="296" spans="2:5" hidden="1" x14ac:dyDescent="0.35">
      <c r="B296" t="s">
        <v>1952</v>
      </c>
      <c r="D296">
        <f>SUMIF('FC Jul 2026 - Sistema'!A:A,B296,'FC Jul 2026 - Sistema'!E:E)</f>
        <v>0</v>
      </c>
      <c r="E296">
        <f t="shared" si="4"/>
        <v>0</v>
      </c>
    </row>
    <row r="297" spans="2:5" hidden="1" x14ac:dyDescent="0.35">
      <c r="B297" t="s">
        <v>467</v>
      </c>
      <c r="C297">
        <v>16</v>
      </c>
      <c r="D297">
        <f>SUMIF('FC Jul 2026 - Sistema'!A:A,B297,'FC Jul 2026 - Sistema'!E:E)</f>
        <v>16</v>
      </c>
      <c r="E297">
        <f t="shared" si="4"/>
        <v>0</v>
      </c>
    </row>
    <row r="298" spans="2:5" hidden="1" x14ac:dyDescent="0.35">
      <c r="B298" t="s">
        <v>470</v>
      </c>
      <c r="C298">
        <v>27</v>
      </c>
      <c r="D298">
        <f>SUMIF('FC Jul 2026 - Sistema'!A:A,B298,'FC Jul 2026 - Sistema'!E:E)</f>
        <v>27</v>
      </c>
      <c r="E298">
        <f t="shared" si="4"/>
        <v>0</v>
      </c>
    </row>
    <row r="299" spans="2:5" hidden="1" x14ac:dyDescent="0.35">
      <c r="B299" t="s">
        <v>472</v>
      </c>
      <c r="D299">
        <f>SUMIF('FC Jul 2026 - Sistema'!A:A,B299,'FC Jul 2026 - Sistema'!E:E)</f>
        <v>0</v>
      </c>
      <c r="E299">
        <f t="shared" si="4"/>
        <v>0</v>
      </c>
    </row>
    <row r="300" spans="2:5" hidden="1" x14ac:dyDescent="0.35">
      <c r="B300" t="s">
        <v>474</v>
      </c>
      <c r="C300">
        <v>4</v>
      </c>
      <c r="D300">
        <f>SUMIF('FC Jul 2026 - Sistema'!A:A,B300,'FC Jul 2026 - Sistema'!E:E)</f>
        <v>4</v>
      </c>
      <c r="E300">
        <f t="shared" si="4"/>
        <v>0</v>
      </c>
    </row>
    <row r="301" spans="2:5" hidden="1" x14ac:dyDescent="0.35">
      <c r="B301" t="s">
        <v>476</v>
      </c>
      <c r="C301">
        <v>4</v>
      </c>
      <c r="D301">
        <f>SUMIF('FC Jul 2026 - Sistema'!A:A,B301,'FC Jul 2026 - Sistema'!E:E)</f>
        <v>4</v>
      </c>
      <c r="E301">
        <f t="shared" si="4"/>
        <v>0</v>
      </c>
    </row>
    <row r="302" spans="2:5" hidden="1" x14ac:dyDescent="0.35">
      <c r="B302" t="s">
        <v>478</v>
      </c>
      <c r="D302">
        <f>SUMIF('FC Jul 2026 - Sistema'!A:A,B302,'FC Jul 2026 - Sistema'!E:E)</f>
        <v>0</v>
      </c>
      <c r="E302">
        <f t="shared" si="4"/>
        <v>0</v>
      </c>
    </row>
    <row r="303" spans="2:5" hidden="1" x14ac:dyDescent="0.35">
      <c r="B303" t="s">
        <v>480</v>
      </c>
      <c r="C303">
        <v>21</v>
      </c>
      <c r="D303">
        <f>SUMIF('FC Jul 2026 - Sistema'!A:A,B303,'FC Jul 2026 - Sistema'!E:E)</f>
        <v>21</v>
      </c>
      <c r="E303">
        <f t="shared" si="4"/>
        <v>0</v>
      </c>
    </row>
    <row r="304" spans="2:5" hidden="1" x14ac:dyDescent="0.35">
      <c r="B304" t="s">
        <v>482</v>
      </c>
      <c r="C304">
        <v>4</v>
      </c>
      <c r="D304">
        <f>SUMIF('FC Jul 2026 - Sistema'!A:A,B304,'FC Jul 2026 - Sistema'!E:E)</f>
        <v>4</v>
      </c>
      <c r="E304">
        <f t="shared" si="4"/>
        <v>0</v>
      </c>
    </row>
    <row r="305" spans="2:5" hidden="1" x14ac:dyDescent="0.35">
      <c r="B305" t="s">
        <v>484</v>
      </c>
      <c r="D305">
        <f>SUMIF('FC Jul 2026 - Sistema'!A:A,B305,'FC Jul 2026 - Sistema'!E:E)</f>
        <v>0</v>
      </c>
      <c r="E305">
        <f t="shared" si="4"/>
        <v>0</v>
      </c>
    </row>
    <row r="306" spans="2:5" hidden="1" x14ac:dyDescent="0.35">
      <c r="B306" t="s">
        <v>486</v>
      </c>
      <c r="D306">
        <f>SUMIF('FC Jul 2026 - Sistema'!A:A,B306,'FC Jul 2026 - Sistema'!E:E)</f>
        <v>0</v>
      </c>
      <c r="E306">
        <f t="shared" si="4"/>
        <v>0</v>
      </c>
    </row>
    <row r="307" spans="2:5" hidden="1" x14ac:dyDescent="0.35">
      <c r="B307" t="s">
        <v>488</v>
      </c>
      <c r="D307">
        <f>SUMIF('FC Jul 2026 - Sistema'!A:A,B307,'FC Jul 2026 - Sistema'!E:E)</f>
        <v>0</v>
      </c>
      <c r="E307">
        <f t="shared" si="4"/>
        <v>0</v>
      </c>
    </row>
    <row r="308" spans="2:5" hidden="1" x14ac:dyDescent="0.35">
      <c r="B308" t="s">
        <v>490</v>
      </c>
      <c r="C308">
        <v>10</v>
      </c>
      <c r="D308">
        <f>SUMIF('FC Jul 2026 - Sistema'!A:A,B308,'FC Jul 2026 - Sistema'!E:E)</f>
        <v>10</v>
      </c>
      <c r="E308">
        <f t="shared" si="4"/>
        <v>0</v>
      </c>
    </row>
    <row r="309" spans="2:5" hidden="1" x14ac:dyDescent="0.35">
      <c r="B309" t="s">
        <v>492</v>
      </c>
      <c r="C309">
        <v>22</v>
      </c>
      <c r="D309">
        <f>SUMIF('FC Jul 2026 - Sistema'!A:A,B309,'FC Jul 2026 - Sistema'!E:E)</f>
        <v>22</v>
      </c>
      <c r="E309">
        <f t="shared" si="4"/>
        <v>0</v>
      </c>
    </row>
    <row r="310" spans="2:5" hidden="1" x14ac:dyDescent="0.35">
      <c r="B310" t="s">
        <v>494</v>
      </c>
      <c r="D310">
        <f>SUMIF('FC Jul 2026 - Sistema'!A:A,B310,'FC Jul 2026 - Sistema'!E:E)</f>
        <v>0</v>
      </c>
      <c r="E310">
        <f t="shared" si="4"/>
        <v>0</v>
      </c>
    </row>
    <row r="311" spans="2:5" hidden="1" x14ac:dyDescent="0.35">
      <c r="B311" t="s">
        <v>496</v>
      </c>
      <c r="D311">
        <f>SUMIF('FC Jul 2026 - Sistema'!A:A,B311,'FC Jul 2026 - Sistema'!E:E)</f>
        <v>0</v>
      </c>
      <c r="E311">
        <f t="shared" si="4"/>
        <v>0</v>
      </c>
    </row>
    <row r="312" spans="2:5" hidden="1" x14ac:dyDescent="0.35">
      <c r="B312" t="s">
        <v>498</v>
      </c>
      <c r="D312">
        <f>SUMIF('FC Jul 2026 - Sistema'!A:A,B312,'FC Jul 2026 - Sistema'!E:E)</f>
        <v>0</v>
      </c>
      <c r="E312">
        <f t="shared" si="4"/>
        <v>0</v>
      </c>
    </row>
    <row r="313" spans="2:5" hidden="1" x14ac:dyDescent="0.35">
      <c r="B313" t="s">
        <v>500</v>
      </c>
      <c r="D313">
        <f>SUMIF('FC Jul 2026 - Sistema'!A:A,B313,'FC Jul 2026 - Sistema'!E:E)</f>
        <v>0</v>
      </c>
      <c r="E313">
        <f t="shared" si="4"/>
        <v>0</v>
      </c>
    </row>
    <row r="314" spans="2:5" hidden="1" x14ac:dyDescent="0.35">
      <c r="B314" t="s">
        <v>502</v>
      </c>
      <c r="D314">
        <f>SUMIF('FC Jul 2026 - Sistema'!A:A,B314,'FC Jul 2026 - Sistema'!E:E)</f>
        <v>0</v>
      </c>
      <c r="E314">
        <f t="shared" si="4"/>
        <v>0</v>
      </c>
    </row>
    <row r="315" spans="2:5" hidden="1" x14ac:dyDescent="0.35">
      <c r="B315" t="s">
        <v>504</v>
      </c>
      <c r="D315">
        <f>SUMIF('FC Jul 2026 - Sistema'!A:A,B315,'FC Jul 2026 - Sistema'!E:E)</f>
        <v>0</v>
      </c>
      <c r="E315">
        <f t="shared" si="4"/>
        <v>0</v>
      </c>
    </row>
    <row r="316" spans="2:5" hidden="1" x14ac:dyDescent="0.35">
      <c r="B316" t="s">
        <v>1953</v>
      </c>
      <c r="D316">
        <f>SUMIF('FC Jul 2026 - Sistema'!A:A,B316,'FC Jul 2026 - Sistema'!E:E)</f>
        <v>0</v>
      </c>
      <c r="E316">
        <f t="shared" si="4"/>
        <v>0</v>
      </c>
    </row>
    <row r="317" spans="2:5" hidden="1" x14ac:dyDescent="0.35">
      <c r="B317" t="s">
        <v>506</v>
      </c>
      <c r="C317">
        <v>49</v>
      </c>
      <c r="D317">
        <f>SUMIF('FC Jul 2026 - Sistema'!A:A,B317,'FC Jul 2026 - Sistema'!E:E)</f>
        <v>49</v>
      </c>
      <c r="E317">
        <f t="shared" si="4"/>
        <v>0</v>
      </c>
    </row>
    <row r="318" spans="2:5" hidden="1" x14ac:dyDescent="0.35">
      <c r="B318" t="s">
        <v>508</v>
      </c>
      <c r="C318">
        <v>56</v>
      </c>
      <c r="D318">
        <f>SUMIF('FC Jul 2026 - Sistema'!A:A,B318,'FC Jul 2026 - Sistema'!E:E)</f>
        <v>56</v>
      </c>
      <c r="E318">
        <f t="shared" si="4"/>
        <v>0</v>
      </c>
    </row>
    <row r="319" spans="2:5" hidden="1" x14ac:dyDescent="0.35">
      <c r="B319" t="s">
        <v>510</v>
      </c>
      <c r="C319">
        <v>21</v>
      </c>
      <c r="D319">
        <f>SUMIF('FC Jul 2026 - Sistema'!A:A,B319,'FC Jul 2026 - Sistema'!E:E)</f>
        <v>21</v>
      </c>
      <c r="E319">
        <f t="shared" si="4"/>
        <v>0</v>
      </c>
    </row>
    <row r="320" spans="2:5" hidden="1" x14ac:dyDescent="0.35">
      <c r="B320" t="s">
        <v>512</v>
      </c>
      <c r="C320">
        <v>43</v>
      </c>
      <c r="D320">
        <f>SUMIF('FC Jul 2026 - Sistema'!A:A,B320,'FC Jul 2026 - Sistema'!E:E)</f>
        <v>43</v>
      </c>
      <c r="E320">
        <f t="shared" si="4"/>
        <v>0</v>
      </c>
    </row>
    <row r="321" spans="2:5" hidden="1" x14ac:dyDescent="0.35">
      <c r="B321" t="s">
        <v>1954</v>
      </c>
      <c r="D321">
        <f>SUMIF('FC Jul 2026 - Sistema'!A:A,B321,'FC Jul 2026 - Sistema'!E:E)</f>
        <v>0</v>
      </c>
      <c r="E321">
        <f t="shared" si="4"/>
        <v>0</v>
      </c>
    </row>
    <row r="322" spans="2:5" hidden="1" x14ac:dyDescent="0.35">
      <c r="B322" t="s">
        <v>514</v>
      </c>
      <c r="D322">
        <f>SUMIF('FC Jul 2026 - Sistema'!A:A,B322,'FC Jul 2026 - Sistema'!E:E)</f>
        <v>0</v>
      </c>
      <c r="E322">
        <f t="shared" si="4"/>
        <v>0</v>
      </c>
    </row>
    <row r="323" spans="2:5" hidden="1" x14ac:dyDescent="0.35">
      <c r="B323" t="s">
        <v>1955</v>
      </c>
      <c r="D323">
        <f>SUMIF('FC Jul 2026 - Sistema'!A:A,B323,'FC Jul 2026 - Sistema'!E:E)</f>
        <v>0</v>
      </c>
      <c r="E323">
        <f t="shared" ref="E323:E386" si="5">C323-D323</f>
        <v>0</v>
      </c>
    </row>
    <row r="324" spans="2:5" hidden="1" x14ac:dyDescent="0.35">
      <c r="B324" t="s">
        <v>1956</v>
      </c>
      <c r="D324">
        <f>SUMIF('FC Jul 2026 - Sistema'!A:A,B324,'FC Jul 2026 - Sistema'!E:E)</f>
        <v>0</v>
      </c>
      <c r="E324">
        <f t="shared" si="5"/>
        <v>0</v>
      </c>
    </row>
    <row r="325" spans="2:5" hidden="1" x14ac:dyDescent="0.35">
      <c r="B325" t="s">
        <v>1957</v>
      </c>
      <c r="D325">
        <f>SUMIF('FC Jul 2026 - Sistema'!A:A,B325,'FC Jul 2026 - Sistema'!E:E)</f>
        <v>0</v>
      </c>
      <c r="E325">
        <f t="shared" si="5"/>
        <v>0</v>
      </c>
    </row>
    <row r="326" spans="2:5" hidden="1" x14ac:dyDescent="0.35">
      <c r="B326" t="s">
        <v>1958</v>
      </c>
      <c r="D326">
        <f>SUMIF('FC Jul 2026 - Sistema'!A:A,B326,'FC Jul 2026 - Sistema'!E:E)</f>
        <v>0</v>
      </c>
      <c r="E326">
        <f t="shared" si="5"/>
        <v>0</v>
      </c>
    </row>
    <row r="327" spans="2:5" hidden="1" x14ac:dyDescent="0.35">
      <c r="B327" t="s">
        <v>1959</v>
      </c>
      <c r="D327">
        <f>SUMIF('FC Jul 2026 - Sistema'!A:A,B327,'FC Jul 2026 - Sistema'!E:E)</f>
        <v>0</v>
      </c>
      <c r="E327">
        <f t="shared" si="5"/>
        <v>0</v>
      </c>
    </row>
    <row r="328" spans="2:5" hidden="1" x14ac:dyDescent="0.35">
      <c r="B328" t="s">
        <v>1960</v>
      </c>
      <c r="D328">
        <f>SUMIF('FC Jul 2026 - Sistema'!A:A,B328,'FC Jul 2026 - Sistema'!E:E)</f>
        <v>0</v>
      </c>
      <c r="E328">
        <f t="shared" si="5"/>
        <v>0</v>
      </c>
    </row>
    <row r="329" spans="2:5" hidden="1" x14ac:dyDescent="0.35">
      <c r="B329" t="s">
        <v>1961</v>
      </c>
      <c r="D329">
        <f>SUMIF('FC Jul 2026 - Sistema'!A:A,B329,'FC Jul 2026 - Sistema'!E:E)</f>
        <v>0</v>
      </c>
      <c r="E329">
        <f t="shared" si="5"/>
        <v>0</v>
      </c>
    </row>
    <row r="330" spans="2:5" hidden="1" x14ac:dyDescent="0.35">
      <c r="B330" t="s">
        <v>516</v>
      </c>
      <c r="D330">
        <f>SUMIF('FC Jul 2026 - Sistema'!A:A,B330,'FC Jul 2026 - Sistema'!E:E)</f>
        <v>0</v>
      </c>
      <c r="E330">
        <f t="shared" si="5"/>
        <v>0</v>
      </c>
    </row>
    <row r="331" spans="2:5" hidden="1" x14ac:dyDescent="0.35">
      <c r="B331" t="s">
        <v>518</v>
      </c>
      <c r="D331">
        <f>SUMIF('FC Jul 2026 - Sistema'!A:A,B331,'FC Jul 2026 - Sistema'!E:E)</f>
        <v>0</v>
      </c>
      <c r="E331">
        <f t="shared" si="5"/>
        <v>0</v>
      </c>
    </row>
    <row r="332" spans="2:5" hidden="1" x14ac:dyDescent="0.35">
      <c r="B332" t="s">
        <v>520</v>
      </c>
      <c r="D332">
        <f>SUMIF('FC Jul 2026 - Sistema'!A:A,B332,'FC Jul 2026 - Sistema'!E:E)</f>
        <v>0</v>
      </c>
      <c r="E332">
        <f t="shared" si="5"/>
        <v>0</v>
      </c>
    </row>
    <row r="333" spans="2:5" hidden="1" x14ac:dyDescent="0.35">
      <c r="B333" t="s">
        <v>522</v>
      </c>
      <c r="C333">
        <v>4</v>
      </c>
      <c r="D333">
        <f>SUMIF('FC Jul 2026 - Sistema'!A:A,B333,'FC Jul 2026 - Sistema'!E:E)</f>
        <v>4</v>
      </c>
      <c r="E333">
        <f t="shared" si="5"/>
        <v>0</v>
      </c>
    </row>
    <row r="334" spans="2:5" hidden="1" x14ac:dyDescent="0.35">
      <c r="B334" t="s">
        <v>524</v>
      </c>
      <c r="D334">
        <f>SUMIF('FC Jul 2026 - Sistema'!A:A,B334,'FC Jul 2026 - Sistema'!E:E)</f>
        <v>0</v>
      </c>
      <c r="E334">
        <f t="shared" si="5"/>
        <v>0</v>
      </c>
    </row>
    <row r="335" spans="2:5" hidden="1" x14ac:dyDescent="0.35">
      <c r="B335" t="s">
        <v>526</v>
      </c>
      <c r="D335">
        <f>SUMIF('FC Jul 2026 - Sistema'!A:A,B335,'FC Jul 2026 - Sistema'!E:E)</f>
        <v>0</v>
      </c>
      <c r="E335">
        <f t="shared" si="5"/>
        <v>0</v>
      </c>
    </row>
    <row r="336" spans="2:5" hidden="1" x14ac:dyDescent="0.35">
      <c r="B336" t="s">
        <v>528</v>
      </c>
      <c r="D336">
        <f>SUMIF('FC Jul 2026 - Sistema'!A:A,B336,'FC Jul 2026 - Sistema'!E:E)</f>
        <v>0</v>
      </c>
      <c r="E336">
        <f t="shared" si="5"/>
        <v>0</v>
      </c>
    </row>
    <row r="337" spans="2:5" hidden="1" x14ac:dyDescent="0.35">
      <c r="B337" t="s">
        <v>530</v>
      </c>
      <c r="D337">
        <f>SUMIF('FC Jul 2026 - Sistema'!A:A,B337,'FC Jul 2026 - Sistema'!E:E)</f>
        <v>0</v>
      </c>
      <c r="E337">
        <f t="shared" si="5"/>
        <v>0</v>
      </c>
    </row>
    <row r="338" spans="2:5" hidden="1" x14ac:dyDescent="0.35">
      <c r="B338" t="s">
        <v>1962</v>
      </c>
      <c r="D338">
        <f>SUMIF('FC Jul 2026 - Sistema'!A:A,B338,'FC Jul 2026 - Sistema'!E:E)</f>
        <v>0</v>
      </c>
      <c r="E338">
        <f t="shared" si="5"/>
        <v>0</v>
      </c>
    </row>
    <row r="339" spans="2:5" hidden="1" x14ac:dyDescent="0.35">
      <c r="B339" t="s">
        <v>532</v>
      </c>
      <c r="C339">
        <v>200</v>
      </c>
      <c r="D339">
        <f>SUMIF('FC Jul 2026 - Sistema'!A:A,B339,'FC Jul 2026 - Sistema'!E:E)</f>
        <v>200</v>
      </c>
      <c r="E339">
        <f t="shared" si="5"/>
        <v>0</v>
      </c>
    </row>
    <row r="340" spans="2:5" hidden="1" x14ac:dyDescent="0.35">
      <c r="B340" t="s">
        <v>534</v>
      </c>
      <c r="D340">
        <f>SUMIF('FC Jul 2026 - Sistema'!A:A,B340,'FC Jul 2026 - Sistema'!E:E)</f>
        <v>0</v>
      </c>
      <c r="E340">
        <f t="shared" si="5"/>
        <v>0</v>
      </c>
    </row>
    <row r="341" spans="2:5" hidden="1" x14ac:dyDescent="0.35">
      <c r="B341" t="s">
        <v>536</v>
      </c>
      <c r="C341">
        <v>220</v>
      </c>
      <c r="D341">
        <f>SUMIF('FC Jul 2026 - Sistema'!A:A,B341,'FC Jul 2026 - Sistema'!E:E)</f>
        <v>220</v>
      </c>
      <c r="E341">
        <f t="shared" si="5"/>
        <v>0</v>
      </c>
    </row>
    <row r="342" spans="2:5" hidden="1" x14ac:dyDescent="0.35">
      <c r="B342" t="s">
        <v>538</v>
      </c>
      <c r="C342">
        <v>29</v>
      </c>
      <c r="D342">
        <f>SUMIF('FC Jul 2026 - Sistema'!A:A,B342,'FC Jul 2026 - Sistema'!E:E)</f>
        <v>29</v>
      </c>
      <c r="E342">
        <f t="shared" si="5"/>
        <v>0</v>
      </c>
    </row>
    <row r="343" spans="2:5" hidden="1" x14ac:dyDescent="0.35">
      <c r="B343" t="s">
        <v>540</v>
      </c>
      <c r="C343">
        <v>25</v>
      </c>
      <c r="D343">
        <f>SUMIF('FC Jul 2026 - Sistema'!A:A,B343,'FC Jul 2026 - Sistema'!E:E)</f>
        <v>25</v>
      </c>
      <c r="E343">
        <f t="shared" si="5"/>
        <v>0</v>
      </c>
    </row>
    <row r="344" spans="2:5" hidden="1" x14ac:dyDescent="0.35">
      <c r="B344" t="s">
        <v>542</v>
      </c>
      <c r="C344">
        <v>6</v>
      </c>
      <c r="D344">
        <f>SUMIF('FC Jul 2026 - Sistema'!A:A,B344,'FC Jul 2026 - Sistema'!E:E)</f>
        <v>6</v>
      </c>
      <c r="E344">
        <f t="shared" si="5"/>
        <v>0</v>
      </c>
    </row>
    <row r="345" spans="2:5" hidden="1" x14ac:dyDescent="0.35">
      <c r="B345" t="s">
        <v>1963</v>
      </c>
      <c r="D345">
        <f>SUMIF('FC Jul 2026 - Sistema'!A:A,B345,'FC Jul 2026 - Sistema'!E:E)</f>
        <v>0</v>
      </c>
      <c r="E345">
        <f t="shared" si="5"/>
        <v>0</v>
      </c>
    </row>
    <row r="346" spans="2:5" hidden="1" x14ac:dyDescent="0.35">
      <c r="B346" t="s">
        <v>544</v>
      </c>
      <c r="C346">
        <v>34</v>
      </c>
      <c r="D346">
        <f>SUMIF('FC Jul 2026 - Sistema'!A:A,B346,'FC Jul 2026 - Sistema'!E:E)</f>
        <v>34</v>
      </c>
      <c r="E346">
        <f t="shared" si="5"/>
        <v>0</v>
      </c>
    </row>
    <row r="347" spans="2:5" hidden="1" x14ac:dyDescent="0.35">
      <c r="B347" t="s">
        <v>546</v>
      </c>
      <c r="C347">
        <v>85</v>
      </c>
      <c r="D347">
        <f>SUMIF('FC Jul 2026 - Sistema'!A:A,B347,'FC Jul 2026 - Sistema'!E:E)</f>
        <v>85</v>
      </c>
      <c r="E347">
        <f t="shared" si="5"/>
        <v>0</v>
      </c>
    </row>
    <row r="348" spans="2:5" hidden="1" x14ac:dyDescent="0.35">
      <c r="B348" t="s">
        <v>548</v>
      </c>
      <c r="C348">
        <v>47</v>
      </c>
      <c r="D348">
        <f>SUMIF('FC Jul 2026 - Sistema'!A:A,B348,'FC Jul 2026 - Sistema'!E:E)</f>
        <v>47</v>
      </c>
      <c r="E348">
        <f t="shared" si="5"/>
        <v>0</v>
      </c>
    </row>
    <row r="349" spans="2:5" hidden="1" x14ac:dyDescent="0.35">
      <c r="B349" t="s">
        <v>550</v>
      </c>
      <c r="D349">
        <f>SUMIF('FC Jul 2026 - Sistema'!A:A,B349,'FC Jul 2026 - Sistema'!E:E)</f>
        <v>0</v>
      </c>
      <c r="E349">
        <f t="shared" si="5"/>
        <v>0</v>
      </c>
    </row>
    <row r="350" spans="2:5" hidden="1" x14ac:dyDescent="0.35">
      <c r="B350" t="s">
        <v>552</v>
      </c>
      <c r="D350">
        <f>SUMIF('FC Jul 2026 - Sistema'!A:A,B350,'FC Jul 2026 - Sistema'!E:E)</f>
        <v>0</v>
      </c>
      <c r="E350">
        <f t="shared" si="5"/>
        <v>0</v>
      </c>
    </row>
    <row r="351" spans="2:5" hidden="1" x14ac:dyDescent="0.35">
      <c r="B351" t="s">
        <v>554</v>
      </c>
      <c r="D351">
        <f>SUMIF('FC Jul 2026 - Sistema'!A:A,B351,'FC Jul 2026 - Sistema'!E:E)</f>
        <v>0</v>
      </c>
      <c r="E351">
        <f t="shared" si="5"/>
        <v>0</v>
      </c>
    </row>
    <row r="352" spans="2:5" hidden="1" x14ac:dyDescent="0.35">
      <c r="B352" t="s">
        <v>1964</v>
      </c>
      <c r="D352">
        <f>SUMIF('FC Jul 2026 - Sistema'!A:A,B352,'FC Jul 2026 - Sistema'!E:E)</f>
        <v>0</v>
      </c>
      <c r="E352">
        <f t="shared" si="5"/>
        <v>0</v>
      </c>
    </row>
    <row r="353" spans="2:5" hidden="1" x14ac:dyDescent="0.35">
      <c r="B353" t="s">
        <v>1965</v>
      </c>
      <c r="D353">
        <f>SUMIF('FC Jul 2026 - Sistema'!A:A,B353,'FC Jul 2026 - Sistema'!E:E)</f>
        <v>0</v>
      </c>
      <c r="E353">
        <f t="shared" si="5"/>
        <v>0</v>
      </c>
    </row>
    <row r="354" spans="2:5" hidden="1" x14ac:dyDescent="0.35">
      <c r="B354" t="s">
        <v>556</v>
      </c>
      <c r="C354">
        <v>1</v>
      </c>
      <c r="D354">
        <f>SUMIF('FC Jul 2026 - Sistema'!A:A,B354,'FC Jul 2026 - Sistema'!E:E)</f>
        <v>1</v>
      </c>
      <c r="E354">
        <f t="shared" si="5"/>
        <v>0</v>
      </c>
    </row>
    <row r="355" spans="2:5" hidden="1" x14ac:dyDescent="0.35">
      <c r="B355" t="s">
        <v>558</v>
      </c>
      <c r="C355">
        <v>8</v>
      </c>
      <c r="D355">
        <f>SUMIF('FC Jul 2026 - Sistema'!A:A,B355,'FC Jul 2026 - Sistema'!E:E)</f>
        <v>8</v>
      </c>
      <c r="E355">
        <f t="shared" si="5"/>
        <v>0</v>
      </c>
    </row>
    <row r="356" spans="2:5" hidden="1" x14ac:dyDescent="0.35">
      <c r="B356" t="s">
        <v>560</v>
      </c>
      <c r="D356">
        <f>SUMIF('FC Jul 2026 - Sistema'!A:A,B356,'FC Jul 2026 - Sistema'!E:E)</f>
        <v>0</v>
      </c>
      <c r="E356">
        <f t="shared" si="5"/>
        <v>0</v>
      </c>
    </row>
    <row r="357" spans="2:5" hidden="1" x14ac:dyDescent="0.35">
      <c r="B357" t="s">
        <v>562</v>
      </c>
      <c r="D357">
        <f>SUMIF('FC Jul 2026 - Sistema'!A:A,B357,'FC Jul 2026 - Sistema'!E:E)</f>
        <v>0</v>
      </c>
      <c r="E357">
        <f t="shared" si="5"/>
        <v>0</v>
      </c>
    </row>
    <row r="358" spans="2:5" hidden="1" x14ac:dyDescent="0.35">
      <c r="B358" t="s">
        <v>564</v>
      </c>
      <c r="C358">
        <v>13</v>
      </c>
      <c r="D358">
        <f>SUMIF('FC Jul 2026 - Sistema'!A:A,B358,'FC Jul 2026 - Sistema'!E:E)</f>
        <v>13</v>
      </c>
      <c r="E358">
        <f t="shared" si="5"/>
        <v>0</v>
      </c>
    </row>
    <row r="359" spans="2:5" hidden="1" x14ac:dyDescent="0.35">
      <c r="B359" t="s">
        <v>1966</v>
      </c>
      <c r="D359">
        <f>SUMIF('FC Jul 2026 - Sistema'!A:A,B359,'FC Jul 2026 - Sistema'!E:E)</f>
        <v>0</v>
      </c>
      <c r="E359">
        <f t="shared" si="5"/>
        <v>0</v>
      </c>
    </row>
    <row r="360" spans="2:5" hidden="1" x14ac:dyDescent="0.35">
      <c r="B360" t="s">
        <v>566</v>
      </c>
      <c r="D360">
        <f>SUMIF('FC Jul 2026 - Sistema'!A:A,B360,'FC Jul 2026 - Sistema'!E:E)</f>
        <v>0</v>
      </c>
      <c r="E360">
        <f t="shared" si="5"/>
        <v>0</v>
      </c>
    </row>
    <row r="361" spans="2:5" hidden="1" x14ac:dyDescent="0.35">
      <c r="B361" t="s">
        <v>568</v>
      </c>
      <c r="C361">
        <v>1</v>
      </c>
      <c r="D361">
        <f>SUMIF('FC Jul 2026 - Sistema'!A:A,B361,'FC Jul 2026 - Sistema'!E:E)</f>
        <v>1</v>
      </c>
      <c r="E361">
        <f t="shared" si="5"/>
        <v>0</v>
      </c>
    </row>
    <row r="362" spans="2:5" hidden="1" x14ac:dyDescent="0.35">
      <c r="B362" t="s">
        <v>570</v>
      </c>
      <c r="C362">
        <v>1</v>
      </c>
      <c r="D362">
        <f>SUMIF('FC Jul 2026 - Sistema'!A:A,B362,'FC Jul 2026 - Sistema'!E:E)</f>
        <v>1</v>
      </c>
      <c r="E362">
        <f t="shared" si="5"/>
        <v>0</v>
      </c>
    </row>
    <row r="363" spans="2:5" hidden="1" x14ac:dyDescent="0.35">
      <c r="B363" t="s">
        <v>572</v>
      </c>
      <c r="C363">
        <v>5</v>
      </c>
      <c r="D363">
        <f>SUMIF('FC Jul 2026 - Sistema'!A:A,B363,'FC Jul 2026 - Sistema'!E:E)</f>
        <v>5</v>
      </c>
      <c r="E363">
        <f t="shared" si="5"/>
        <v>0</v>
      </c>
    </row>
    <row r="364" spans="2:5" hidden="1" x14ac:dyDescent="0.35">
      <c r="B364" t="s">
        <v>1967</v>
      </c>
      <c r="D364">
        <f>SUMIF('FC Jul 2026 - Sistema'!A:A,B364,'FC Jul 2026 - Sistema'!E:E)</f>
        <v>0</v>
      </c>
      <c r="E364">
        <f t="shared" si="5"/>
        <v>0</v>
      </c>
    </row>
    <row r="365" spans="2:5" hidden="1" x14ac:dyDescent="0.35">
      <c r="B365" t="s">
        <v>574</v>
      </c>
      <c r="C365">
        <v>1</v>
      </c>
      <c r="D365">
        <f>SUMIF('FC Jul 2026 - Sistema'!A:A,B365,'FC Jul 2026 - Sistema'!E:E)</f>
        <v>1</v>
      </c>
      <c r="E365">
        <f t="shared" si="5"/>
        <v>0</v>
      </c>
    </row>
    <row r="366" spans="2:5" hidden="1" x14ac:dyDescent="0.35">
      <c r="B366" t="s">
        <v>576</v>
      </c>
      <c r="D366">
        <f>SUMIF('FC Jul 2026 - Sistema'!A:A,B366,'FC Jul 2026 - Sistema'!E:E)</f>
        <v>0</v>
      </c>
      <c r="E366">
        <f t="shared" si="5"/>
        <v>0</v>
      </c>
    </row>
    <row r="367" spans="2:5" hidden="1" x14ac:dyDescent="0.35">
      <c r="B367" t="s">
        <v>578</v>
      </c>
      <c r="D367">
        <f>SUMIF('FC Jul 2026 - Sistema'!A:A,B367,'FC Jul 2026 - Sistema'!E:E)</f>
        <v>0</v>
      </c>
      <c r="E367">
        <f t="shared" si="5"/>
        <v>0</v>
      </c>
    </row>
    <row r="368" spans="2:5" hidden="1" x14ac:dyDescent="0.35">
      <c r="B368" t="s">
        <v>580</v>
      </c>
      <c r="D368">
        <f>SUMIF('FC Jul 2026 - Sistema'!A:A,B368,'FC Jul 2026 - Sistema'!E:E)</f>
        <v>0</v>
      </c>
      <c r="E368">
        <f t="shared" si="5"/>
        <v>0</v>
      </c>
    </row>
    <row r="369" spans="2:5" hidden="1" x14ac:dyDescent="0.35">
      <c r="B369" t="s">
        <v>582</v>
      </c>
      <c r="C369">
        <v>33</v>
      </c>
      <c r="D369">
        <f>SUMIF('FC Jul 2026 - Sistema'!A:A,B369,'FC Jul 2026 - Sistema'!E:E)</f>
        <v>33</v>
      </c>
      <c r="E369">
        <f t="shared" si="5"/>
        <v>0</v>
      </c>
    </row>
    <row r="370" spans="2:5" hidden="1" x14ac:dyDescent="0.35">
      <c r="B370" t="s">
        <v>584</v>
      </c>
      <c r="D370">
        <f>SUMIF('FC Jul 2026 - Sistema'!A:A,B370,'FC Jul 2026 - Sistema'!E:E)</f>
        <v>0</v>
      </c>
      <c r="E370">
        <f t="shared" si="5"/>
        <v>0</v>
      </c>
    </row>
    <row r="371" spans="2:5" hidden="1" x14ac:dyDescent="0.35">
      <c r="B371" t="s">
        <v>586</v>
      </c>
      <c r="D371">
        <f>SUMIF('FC Jul 2026 - Sistema'!A:A,B371,'FC Jul 2026 - Sistema'!E:E)</f>
        <v>0</v>
      </c>
      <c r="E371">
        <f t="shared" si="5"/>
        <v>0</v>
      </c>
    </row>
    <row r="372" spans="2:5" hidden="1" x14ac:dyDescent="0.35">
      <c r="B372" t="s">
        <v>588</v>
      </c>
      <c r="C372">
        <v>44</v>
      </c>
      <c r="D372">
        <f>SUMIF('FC Jul 2026 - Sistema'!A:A,B372,'FC Jul 2026 - Sistema'!E:E)</f>
        <v>44</v>
      </c>
      <c r="E372">
        <f t="shared" si="5"/>
        <v>0</v>
      </c>
    </row>
    <row r="373" spans="2:5" hidden="1" x14ac:dyDescent="0.35">
      <c r="B373" t="s">
        <v>590</v>
      </c>
      <c r="C373">
        <v>11</v>
      </c>
      <c r="D373">
        <f>SUMIF('FC Jul 2026 - Sistema'!A:A,B373,'FC Jul 2026 - Sistema'!E:E)</f>
        <v>11</v>
      </c>
      <c r="E373">
        <f t="shared" si="5"/>
        <v>0</v>
      </c>
    </row>
    <row r="374" spans="2:5" hidden="1" x14ac:dyDescent="0.35">
      <c r="B374" t="s">
        <v>592</v>
      </c>
      <c r="D374">
        <f>SUMIF('FC Jul 2026 - Sistema'!A:A,B374,'FC Jul 2026 - Sistema'!E:E)</f>
        <v>0</v>
      </c>
      <c r="E374">
        <f t="shared" si="5"/>
        <v>0</v>
      </c>
    </row>
    <row r="375" spans="2:5" hidden="1" x14ac:dyDescent="0.35">
      <c r="B375" t="s">
        <v>594</v>
      </c>
      <c r="D375">
        <f>SUMIF('FC Jul 2026 - Sistema'!A:A,B375,'FC Jul 2026 - Sistema'!E:E)</f>
        <v>0</v>
      </c>
      <c r="E375">
        <f t="shared" si="5"/>
        <v>0</v>
      </c>
    </row>
    <row r="376" spans="2:5" hidden="1" x14ac:dyDescent="0.35">
      <c r="B376" t="s">
        <v>598</v>
      </c>
      <c r="C376">
        <v>6</v>
      </c>
      <c r="D376">
        <f>SUMIF('FC Jul 2026 - Sistema'!A:A,B376,'FC Jul 2026 - Sistema'!E:E)</f>
        <v>6</v>
      </c>
      <c r="E376">
        <f t="shared" si="5"/>
        <v>0</v>
      </c>
    </row>
    <row r="377" spans="2:5" hidden="1" x14ac:dyDescent="0.35">
      <c r="B377" t="s">
        <v>600</v>
      </c>
      <c r="D377">
        <f>SUMIF('FC Jul 2026 - Sistema'!A:A,B377,'FC Jul 2026 - Sistema'!E:E)</f>
        <v>0</v>
      </c>
      <c r="E377">
        <f t="shared" si="5"/>
        <v>0</v>
      </c>
    </row>
    <row r="378" spans="2:5" hidden="1" x14ac:dyDescent="0.35">
      <c r="B378" t="s">
        <v>602</v>
      </c>
      <c r="C378">
        <v>80</v>
      </c>
      <c r="D378">
        <f>SUMIF('FC Jul 2026 - Sistema'!A:A,B378,'FC Jul 2026 - Sistema'!E:E)</f>
        <v>80</v>
      </c>
      <c r="E378">
        <f t="shared" si="5"/>
        <v>0</v>
      </c>
    </row>
    <row r="379" spans="2:5" hidden="1" x14ac:dyDescent="0.35">
      <c r="B379" t="s">
        <v>604</v>
      </c>
      <c r="D379">
        <f>SUMIF('FC Jul 2026 - Sistema'!A:A,B379,'FC Jul 2026 - Sistema'!E:E)</f>
        <v>0</v>
      </c>
      <c r="E379">
        <f t="shared" si="5"/>
        <v>0</v>
      </c>
    </row>
    <row r="380" spans="2:5" hidden="1" x14ac:dyDescent="0.35">
      <c r="B380" t="s">
        <v>606</v>
      </c>
      <c r="D380">
        <f>SUMIF('FC Jul 2026 - Sistema'!A:A,B380,'FC Jul 2026 - Sistema'!E:E)</f>
        <v>0</v>
      </c>
      <c r="E380">
        <f t="shared" si="5"/>
        <v>0</v>
      </c>
    </row>
    <row r="381" spans="2:5" hidden="1" x14ac:dyDescent="0.35">
      <c r="B381" t="s">
        <v>608</v>
      </c>
      <c r="D381">
        <f>SUMIF('FC Jul 2026 - Sistema'!A:A,B381,'FC Jul 2026 - Sistema'!E:E)</f>
        <v>0</v>
      </c>
      <c r="E381">
        <f t="shared" si="5"/>
        <v>0</v>
      </c>
    </row>
    <row r="382" spans="2:5" hidden="1" x14ac:dyDescent="0.35">
      <c r="B382" t="s">
        <v>610</v>
      </c>
      <c r="D382">
        <f>SUMIF('FC Jul 2026 - Sistema'!A:A,B382,'FC Jul 2026 - Sistema'!E:E)</f>
        <v>0</v>
      </c>
      <c r="E382">
        <f t="shared" si="5"/>
        <v>0</v>
      </c>
    </row>
    <row r="383" spans="2:5" hidden="1" x14ac:dyDescent="0.35">
      <c r="B383" t="s">
        <v>612</v>
      </c>
      <c r="D383">
        <f>SUMIF('FC Jul 2026 - Sistema'!A:A,B383,'FC Jul 2026 - Sistema'!E:E)</f>
        <v>0</v>
      </c>
      <c r="E383">
        <f t="shared" si="5"/>
        <v>0</v>
      </c>
    </row>
    <row r="384" spans="2:5" hidden="1" x14ac:dyDescent="0.35">
      <c r="B384" t="s">
        <v>615</v>
      </c>
      <c r="D384">
        <f>SUMIF('FC Jul 2026 - Sistema'!A:A,B384,'FC Jul 2026 - Sistema'!E:E)</f>
        <v>0</v>
      </c>
      <c r="E384">
        <f t="shared" si="5"/>
        <v>0</v>
      </c>
    </row>
    <row r="385" spans="2:5" hidden="1" x14ac:dyDescent="0.35">
      <c r="B385" t="s">
        <v>617</v>
      </c>
      <c r="D385">
        <f>SUMIF('FC Jul 2026 - Sistema'!A:A,B385,'FC Jul 2026 - Sistema'!E:E)</f>
        <v>0</v>
      </c>
      <c r="E385">
        <f t="shared" si="5"/>
        <v>0</v>
      </c>
    </row>
    <row r="386" spans="2:5" hidden="1" x14ac:dyDescent="0.35">
      <c r="B386" t="s">
        <v>619</v>
      </c>
      <c r="D386">
        <f>SUMIF('FC Jul 2026 - Sistema'!A:A,B386,'FC Jul 2026 - Sistema'!E:E)</f>
        <v>0</v>
      </c>
      <c r="E386">
        <f t="shared" si="5"/>
        <v>0</v>
      </c>
    </row>
    <row r="387" spans="2:5" hidden="1" x14ac:dyDescent="0.35">
      <c r="B387" t="s">
        <v>621</v>
      </c>
      <c r="D387">
        <f>SUMIF('FC Jul 2026 - Sistema'!A:A,B387,'FC Jul 2026 - Sistema'!E:E)</f>
        <v>0</v>
      </c>
      <c r="E387">
        <f t="shared" ref="E387:E450" si="6">C387-D387</f>
        <v>0</v>
      </c>
    </row>
    <row r="388" spans="2:5" hidden="1" x14ac:dyDescent="0.35">
      <c r="B388" t="s">
        <v>623</v>
      </c>
      <c r="D388">
        <f>SUMIF('FC Jul 2026 - Sistema'!A:A,B388,'FC Jul 2026 - Sistema'!E:E)</f>
        <v>0</v>
      </c>
      <c r="E388">
        <f t="shared" si="6"/>
        <v>0</v>
      </c>
    </row>
    <row r="389" spans="2:5" hidden="1" x14ac:dyDescent="0.35">
      <c r="B389" t="s">
        <v>625</v>
      </c>
      <c r="D389">
        <f>SUMIF('FC Jul 2026 - Sistema'!A:A,B389,'FC Jul 2026 - Sistema'!E:E)</f>
        <v>0</v>
      </c>
      <c r="E389">
        <f t="shared" si="6"/>
        <v>0</v>
      </c>
    </row>
    <row r="390" spans="2:5" hidden="1" x14ac:dyDescent="0.35">
      <c r="B390" t="s">
        <v>627</v>
      </c>
      <c r="D390">
        <f>SUMIF('FC Jul 2026 - Sistema'!A:A,B390,'FC Jul 2026 - Sistema'!E:E)</f>
        <v>0</v>
      </c>
      <c r="E390">
        <f t="shared" si="6"/>
        <v>0</v>
      </c>
    </row>
    <row r="391" spans="2:5" hidden="1" x14ac:dyDescent="0.35">
      <c r="B391" t="s">
        <v>629</v>
      </c>
      <c r="D391">
        <f>SUMIF('FC Jul 2026 - Sistema'!A:A,B391,'FC Jul 2026 - Sistema'!E:E)</f>
        <v>0</v>
      </c>
      <c r="E391">
        <f t="shared" si="6"/>
        <v>0</v>
      </c>
    </row>
    <row r="392" spans="2:5" hidden="1" x14ac:dyDescent="0.35">
      <c r="B392" t="s">
        <v>631</v>
      </c>
      <c r="D392">
        <f>SUMIF('FC Jul 2026 - Sistema'!A:A,B392,'FC Jul 2026 - Sistema'!E:E)</f>
        <v>0</v>
      </c>
      <c r="E392">
        <f t="shared" si="6"/>
        <v>0</v>
      </c>
    </row>
    <row r="393" spans="2:5" hidden="1" x14ac:dyDescent="0.35">
      <c r="B393" t="s">
        <v>633</v>
      </c>
      <c r="D393">
        <f>SUMIF('FC Jul 2026 - Sistema'!A:A,B393,'FC Jul 2026 - Sistema'!E:E)</f>
        <v>0</v>
      </c>
      <c r="E393">
        <f t="shared" si="6"/>
        <v>0</v>
      </c>
    </row>
    <row r="394" spans="2:5" hidden="1" x14ac:dyDescent="0.35">
      <c r="B394" t="s">
        <v>635</v>
      </c>
      <c r="D394">
        <f>SUMIF('FC Jul 2026 - Sistema'!A:A,B394,'FC Jul 2026 - Sistema'!E:E)</f>
        <v>0</v>
      </c>
      <c r="E394">
        <f t="shared" si="6"/>
        <v>0</v>
      </c>
    </row>
    <row r="395" spans="2:5" hidden="1" x14ac:dyDescent="0.35">
      <c r="B395" t="s">
        <v>637</v>
      </c>
      <c r="D395">
        <f>SUMIF('FC Jul 2026 - Sistema'!A:A,B395,'FC Jul 2026 - Sistema'!E:E)</f>
        <v>0</v>
      </c>
      <c r="E395">
        <f t="shared" si="6"/>
        <v>0</v>
      </c>
    </row>
    <row r="396" spans="2:5" hidden="1" x14ac:dyDescent="0.35">
      <c r="B396" t="s">
        <v>639</v>
      </c>
      <c r="D396">
        <f>SUMIF('FC Jul 2026 - Sistema'!A:A,B396,'FC Jul 2026 - Sistema'!E:E)</f>
        <v>0</v>
      </c>
      <c r="E396">
        <f t="shared" si="6"/>
        <v>0</v>
      </c>
    </row>
    <row r="397" spans="2:5" hidden="1" x14ac:dyDescent="0.35">
      <c r="B397" t="s">
        <v>641</v>
      </c>
      <c r="D397">
        <f>SUMIF('FC Jul 2026 - Sistema'!A:A,B397,'FC Jul 2026 - Sistema'!E:E)</f>
        <v>0</v>
      </c>
      <c r="E397">
        <f t="shared" si="6"/>
        <v>0</v>
      </c>
    </row>
    <row r="398" spans="2:5" hidden="1" x14ac:dyDescent="0.35">
      <c r="B398" t="s">
        <v>643</v>
      </c>
      <c r="C398">
        <v>32</v>
      </c>
      <c r="D398">
        <f>SUMIF('FC Jul 2026 - Sistema'!A:A,B398,'FC Jul 2026 - Sistema'!E:E)</f>
        <v>32</v>
      </c>
      <c r="E398">
        <f t="shared" si="6"/>
        <v>0</v>
      </c>
    </row>
    <row r="399" spans="2:5" hidden="1" x14ac:dyDescent="0.35">
      <c r="B399" t="s">
        <v>645</v>
      </c>
      <c r="C399">
        <v>8</v>
      </c>
      <c r="D399">
        <f>SUMIF('FC Jul 2026 - Sistema'!A:A,B399,'FC Jul 2026 - Sistema'!E:E)</f>
        <v>8</v>
      </c>
      <c r="E399">
        <f t="shared" si="6"/>
        <v>0</v>
      </c>
    </row>
    <row r="400" spans="2:5" hidden="1" x14ac:dyDescent="0.35">
      <c r="B400" t="s">
        <v>647</v>
      </c>
      <c r="C400">
        <v>1</v>
      </c>
      <c r="D400">
        <f>SUMIF('FC Jul 2026 - Sistema'!A:A,B400,'FC Jul 2026 - Sistema'!E:E)</f>
        <v>1</v>
      </c>
      <c r="E400">
        <f t="shared" si="6"/>
        <v>0</v>
      </c>
    </row>
    <row r="401" spans="2:5" hidden="1" x14ac:dyDescent="0.35">
      <c r="B401" t="s">
        <v>649</v>
      </c>
      <c r="C401">
        <v>51</v>
      </c>
      <c r="D401">
        <f>SUMIF('FC Jul 2026 - Sistema'!A:A,B401,'FC Jul 2026 - Sistema'!E:E)</f>
        <v>51</v>
      </c>
      <c r="E401">
        <f t="shared" si="6"/>
        <v>0</v>
      </c>
    </row>
    <row r="402" spans="2:5" hidden="1" x14ac:dyDescent="0.35">
      <c r="B402" t="s">
        <v>651</v>
      </c>
      <c r="D402">
        <f>SUMIF('FC Jul 2026 - Sistema'!A:A,B402,'FC Jul 2026 - Sistema'!E:E)</f>
        <v>0</v>
      </c>
      <c r="E402">
        <f t="shared" si="6"/>
        <v>0</v>
      </c>
    </row>
    <row r="403" spans="2:5" hidden="1" x14ac:dyDescent="0.35">
      <c r="B403" t="s">
        <v>653</v>
      </c>
      <c r="D403">
        <f>SUMIF('FC Jul 2026 - Sistema'!A:A,B403,'FC Jul 2026 - Sistema'!E:E)</f>
        <v>0</v>
      </c>
      <c r="E403">
        <f t="shared" si="6"/>
        <v>0</v>
      </c>
    </row>
    <row r="404" spans="2:5" hidden="1" x14ac:dyDescent="0.35">
      <c r="B404" t="s">
        <v>655</v>
      </c>
      <c r="D404">
        <f>SUMIF('FC Jul 2026 - Sistema'!A:A,B404,'FC Jul 2026 - Sistema'!E:E)</f>
        <v>0</v>
      </c>
      <c r="E404">
        <f t="shared" si="6"/>
        <v>0</v>
      </c>
    </row>
    <row r="405" spans="2:5" hidden="1" x14ac:dyDescent="0.35">
      <c r="B405" t="s">
        <v>657</v>
      </c>
      <c r="D405">
        <f>SUMIF('FC Jul 2026 - Sistema'!A:A,B405,'FC Jul 2026 - Sistema'!E:E)</f>
        <v>0</v>
      </c>
      <c r="E405">
        <f t="shared" si="6"/>
        <v>0</v>
      </c>
    </row>
    <row r="406" spans="2:5" hidden="1" x14ac:dyDescent="0.35">
      <c r="B406" t="s">
        <v>659</v>
      </c>
      <c r="D406">
        <f>SUMIF('FC Jul 2026 - Sistema'!A:A,B406,'FC Jul 2026 - Sistema'!E:E)</f>
        <v>0</v>
      </c>
      <c r="E406">
        <f t="shared" si="6"/>
        <v>0</v>
      </c>
    </row>
    <row r="407" spans="2:5" hidden="1" x14ac:dyDescent="0.35">
      <c r="B407" t="s">
        <v>661</v>
      </c>
      <c r="D407">
        <f>SUMIF('FC Jul 2026 - Sistema'!A:A,B407,'FC Jul 2026 - Sistema'!E:E)</f>
        <v>0</v>
      </c>
      <c r="E407">
        <f t="shared" si="6"/>
        <v>0</v>
      </c>
    </row>
    <row r="408" spans="2:5" hidden="1" x14ac:dyDescent="0.35">
      <c r="B408" t="s">
        <v>663</v>
      </c>
      <c r="C408">
        <v>5</v>
      </c>
      <c r="D408">
        <f>SUMIF('FC Jul 2026 - Sistema'!A:A,B408,'FC Jul 2026 - Sistema'!E:E)</f>
        <v>5</v>
      </c>
      <c r="E408">
        <f t="shared" si="6"/>
        <v>0</v>
      </c>
    </row>
    <row r="409" spans="2:5" hidden="1" x14ac:dyDescent="0.35">
      <c r="B409" t="s">
        <v>665</v>
      </c>
      <c r="D409">
        <f>SUMIF('FC Jul 2026 - Sistema'!A:A,B409,'FC Jul 2026 - Sistema'!E:E)</f>
        <v>0</v>
      </c>
      <c r="E409">
        <f t="shared" si="6"/>
        <v>0</v>
      </c>
    </row>
    <row r="410" spans="2:5" hidden="1" x14ac:dyDescent="0.35">
      <c r="B410" t="s">
        <v>667</v>
      </c>
      <c r="D410">
        <f>SUMIF('FC Jul 2026 - Sistema'!A:A,B410,'FC Jul 2026 - Sistema'!E:E)</f>
        <v>0</v>
      </c>
      <c r="E410">
        <f t="shared" si="6"/>
        <v>0</v>
      </c>
    </row>
    <row r="411" spans="2:5" hidden="1" x14ac:dyDescent="0.35">
      <c r="B411" t="s">
        <v>669</v>
      </c>
      <c r="C411">
        <v>10</v>
      </c>
      <c r="D411">
        <f>SUMIF('FC Jul 2026 - Sistema'!A:A,B411,'FC Jul 2026 - Sistema'!E:E)</f>
        <v>10</v>
      </c>
      <c r="E411">
        <f t="shared" si="6"/>
        <v>0</v>
      </c>
    </row>
    <row r="412" spans="2:5" hidden="1" x14ac:dyDescent="0.35">
      <c r="B412" t="s">
        <v>671</v>
      </c>
      <c r="C412">
        <v>10</v>
      </c>
      <c r="D412">
        <f>SUMIF('FC Jul 2026 - Sistema'!A:A,B412,'FC Jul 2026 - Sistema'!E:E)</f>
        <v>10</v>
      </c>
      <c r="E412">
        <f t="shared" si="6"/>
        <v>0</v>
      </c>
    </row>
    <row r="413" spans="2:5" hidden="1" x14ac:dyDescent="0.35">
      <c r="B413" t="s">
        <v>673</v>
      </c>
      <c r="D413">
        <f>SUMIF('FC Jul 2026 - Sistema'!A:A,B413,'FC Jul 2026 - Sistema'!E:E)</f>
        <v>0</v>
      </c>
      <c r="E413">
        <f t="shared" si="6"/>
        <v>0</v>
      </c>
    </row>
    <row r="414" spans="2:5" hidden="1" x14ac:dyDescent="0.35">
      <c r="B414" t="s">
        <v>675</v>
      </c>
      <c r="C414">
        <v>4</v>
      </c>
      <c r="D414">
        <f>SUMIF('FC Jul 2026 - Sistema'!A:A,B414,'FC Jul 2026 - Sistema'!E:E)</f>
        <v>4</v>
      </c>
      <c r="E414">
        <f t="shared" si="6"/>
        <v>0</v>
      </c>
    </row>
    <row r="415" spans="2:5" hidden="1" x14ac:dyDescent="0.35">
      <c r="B415" t="s">
        <v>678</v>
      </c>
      <c r="D415">
        <f>SUMIF('FC Jul 2026 - Sistema'!A:A,B415,'FC Jul 2026 - Sistema'!E:E)</f>
        <v>0</v>
      </c>
      <c r="E415">
        <f t="shared" si="6"/>
        <v>0</v>
      </c>
    </row>
    <row r="416" spans="2:5" hidden="1" x14ac:dyDescent="0.35">
      <c r="B416" t="s">
        <v>680</v>
      </c>
      <c r="C416">
        <v>50</v>
      </c>
      <c r="D416">
        <f>SUMIF('FC Jul 2026 - Sistema'!A:A,B416,'FC Jul 2026 - Sistema'!E:E)</f>
        <v>50</v>
      </c>
      <c r="E416">
        <f t="shared" si="6"/>
        <v>0</v>
      </c>
    </row>
    <row r="417" spans="2:5" hidden="1" x14ac:dyDescent="0.35">
      <c r="B417" t="s">
        <v>682</v>
      </c>
      <c r="C417">
        <v>18</v>
      </c>
      <c r="D417">
        <f>SUMIF('FC Jul 2026 - Sistema'!A:A,B417,'FC Jul 2026 - Sistema'!E:E)</f>
        <v>18</v>
      </c>
      <c r="E417">
        <f t="shared" si="6"/>
        <v>0</v>
      </c>
    </row>
    <row r="418" spans="2:5" hidden="1" x14ac:dyDescent="0.35">
      <c r="B418" t="s">
        <v>684</v>
      </c>
      <c r="C418">
        <v>200</v>
      </c>
      <c r="D418">
        <f>SUMIF('FC Jul 2026 - Sistema'!A:A,B418,'FC Jul 2026 - Sistema'!E:E)</f>
        <v>200</v>
      </c>
      <c r="E418">
        <f t="shared" si="6"/>
        <v>0</v>
      </c>
    </row>
    <row r="419" spans="2:5" hidden="1" x14ac:dyDescent="0.35">
      <c r="B419" t="s">
        <v>688</v>
      </c>
      <c r="D419">
        <f>SUMIF('FC Jul 2026 - Sistema'!A:A,B419,'FC Jul 2026 - Sistema'!E:E)</f>
        <v>0</v>
      </c>
      <c r="E419">
        <f t="shared" si="6"/>
        <v>0</v>
      </c>
    </row>
    <row r="420" spans="2:5" hidden="1" x14ac:dyDescent="0.35">
      <c r="B420" t="s">
        <v>690</v>
      </c>
      <c r="C420">
        <v>9</v>
      </c>
      <c r="D420">
        <f>SUMIF('FC Jul 2026 - Sistema'!A:A,B420,'FC Jul 2026 - Sistema'!E:E)</f>
        <v>9</v>
      </c>
      <c r="E420">
        <f t="shared" si="6"/>
        <v>0</v>
      </c>
    </row>
    <row r="421" spans="2:5" hidden="1" x14ac:dyDescent="0.35">
      <c r="B421" t="s">
        <v>692</v>
      </c>
      <c r="D421">
        <f>SUMIF('FC Jul 2026 - Sistema'!A:A,B421,'FC Jul 2026 - Sistema'!E:E)</f>
        <v>0</v>
      </c>
      <c r="E421">
        <f t="shared" si="6"/>
        <v>0</v>
      </c>
    </row>
    <row r="422" spans="2:5" hidden="1" x14ac:dyDescent="0.35">
      <c r="B422" t="s">
        <v>694</v>
      </c>
      <c r="D422">
        <f>SUMIF('FC Jul 2026 - Sistema'!A:A,B422,'FC Jul 2026 - Sistema'!E:E)</f>
        <v>0</v>
      </c>
      <c r="E422">
        <f t="shared" si="6"/>
        <v>0</v>
      </c>
    </row>
    <row r="423" spans="2:5" hidden="1" x14ac:dyDescent="0.35">
      <c r="B423" t="s">
        <v>696</v>
      </c>
      <c r="C423">
        <v>9</v>
      </c>
      <c r="D423">
        <f>SUMIF('FC Jul 2026 - Sistema'!A:A,B423,'FC Jul 2026 - Sistema'!E:E)</f>
        <v>9</v>
      </c>
      <c r="E423">
        <f t="shared" si="6"/>
        <v>0</v>
      </c>
    </row>
    <row r="424" spans="2:5" hidden="1" x14ac:dyDescent="0.35">
      <c r="B424" t="s">
        <v>698</v>
      </c>
      <c r="C424">
        <v>6</v>
      </c>
      <c r="D424">
        <f>SUMIF('FC Jul 2026 - Sistema'!A:A,B424,'FC Jul 2026 - Sistema'!E:E)</f>
        <v>6</v>
      </c>
      <c r="E424">
        <f t="shared" si="6"/>
        <v>0</v>
      </c>
    </row>
    <row r="425" spans="2:5" hidden="1" x14ac:dyDescent="0.35">
      <c r="B425" t="s">
        <v>700</v>
      </c>
      <c r="C425">
        <v>30</v>
      </c>
      <c r="D425">
        <f>SUMIF('FC Jul 2026 - Sistema'!A:A,B425,'FC Jul 2026 - Sistema'!E:E)</f>
        <v>30</v>
      </c>
      <c r="E425">
        <f t="shared" si="6"/>
        <v>0</v>
      </c>
    </row>
    <row r="426" spans="2:5" hidden="1" x14ac:dyDescent="0.35">
      <c r="B426" t="s">
        <v>702</v>
      </c>
      <c r="C426">
        <v>8</v>
      </c>
      <c r="D426">
        <f>SUMIF('FC Jul 2026 - Sistema'!A:A,B426,'FC Jul 2026 - Sistema'!E:E)</f>
        <v>8</v>
      </c>
      <c r="E426">
        <f t="shared" si="6"/>
        <v>0</v>
      </c>
    </row>
    <row r="427" spans="2:5" hidden="1" x14ac:dyDescent="0.35">
      <c r="B427" t="s">
        <v>704</v>
      </c>
      <c r="D427">
        <f>SUMIF('FC Jul 2026 - Sistema'!A:A,B427,'FC Jul 2026 - Sistema'!E:E)</f>
        <v>0</v>
      </c>
      <c r="E427">
        <f t="shared" si="6"/>
        <v>0</v>
      </c>
    </row>
    <row r="428" spans="2:5" hidden="1" x14ac:dyDescent="0.35">
      <c r="B428" t="s">
        <v>706</v>
      </c>
      <c r="C428">
        <v>13</v>
      </c>
      <c r="D428">
        <f>SUMIF('FC Jul 2026 - Sistema'!A:A,B428,'FC Jul 2026 - Sistema'!E:E)</f>
        <v>13</v>
      </c>
      <c r="E428">
        <f t="shared" si="6"/>
        <v>0</v>
      </c>
    </row>
    <row r="429" spans="2:5" hidden="1" x14ac:dyDescent="0.35">
      <c r="B429" t="s">
        <v>708</v>
      </c>
      <c r="C429">
        <v>12</v>
      </c>
      <c r="D429">
        <f>SUMIF('FC Jul 2026 - Sistema'!A:A,B429,'FC Jul 2026 - Sistema'!E:E)</f>
        <v>12</v>
      </c>
      <c r="E429">
        <f t="shared" si="6"/>
        <v>0</v>
      </c>
    </row>
    <row r="430" spans="2:5" hidden="1" x14ac:dyDescent="0.35">
      <c r="B430" t="s">
        <v>710</v>
      </c>
      <c r="C430">
        <v>15</v>
      </c>
      <c r="D430">
        <f>SUMIF('FC Jul 2026 - Sistema'!A:A,B430,'FC Jul 2026 - Sistema'!E:E)</f>
        <v>15</v>
      </c>
      <c r="E430">
        <f t="shared" si="6"/>
        <v>0</v>
      </c>
    </row>
    <row r="431" spans="2:5" hidden="1" x14ac:dyDescent="0.35">
      <c r="B431" t="s">
        <v>712</v>
      </c>
      <c r="C431">
        <v>17</v>
      </c>
      <c r="D431">
        <f>SUMIF('FC Jul 2026 - Sistema'!A:A,B431,'FC Jul 2026 - Sistema'!E:E)</f>
        <v>17</v>
      </c>
      <c r="E431">
        <f t="shared" si="6"/>
        <v>0</v>
      </c>
    </row>
    <row r="432" spans="2:5" hidden="1" x14ac:dyDescent="0.35">
      <c r="B432" t="s">
        <v>714</v>
      </c>
      <c r="C432">
        <v>12</v>
      </c>
      <c r="D432">
        <f>SUMIF('FC Jul 2026 - Sistema'!A:A,B432,'FC Jul 2026 - Sistema'!E:E)</f>
        <v>12</v>
      </c>
      <c r="E432">
        <f t="shared" si="6"/>
        <v>0</v>
      </c>
    </row>
    <row r="433" spans="2:5" hidden="1" x14ac:dyDescent="0.35">
      <c r="B433" t="s">
        <v>716</v>
      </c>
      <c r="D433">
        <f>SUMIF('FC Jul 2026 - Sistema'!A:A,B433,'FC Jul 2026 - Sistema'!E:E)</f>
        <v>0</v>
      </c>
      <c r="E433">
        <f t="shared" si="6"/>
        <v>0</v>
      </c>
    </row>
    <row r="434" spans="2:5" hidden="1" x14ac:dyDescent="0.35">
      <c r="B434" t="s">
        <v>718</v>
      </c>
      <c r="D434">
        <f>SUMIF('FC Jul 2026 - Sistema'!A:A,B434,'FC Jul 2026 - Sistema'!E:E)</f>
        <v>0</v>
      </c>
      <c r="E434">
        <f t="shared" si="6"/>
        <v>0</v>
      </c>
    </row>
    <row r="435" spans="2:5" hidden="1" x14ac:dyDescent="0.35">
      <c r="B435" t="s">
        <v>720</v>
      </c>
      <c r="D435">
        <f>SUMIF('FC Jul 2026 - Sistema'!A:A,B435,'FC Jul 2026 - Sistema'!E:E)</f>
        <v>0</v>
      </c>
      <c r="E435">
        <f t="shared" si="6"/>
        <v>0</v>
      </c>
    </row>
    <row r="436" spans="2:5" hidden="1" x14ac:dyDescent="0.35">
      <c r="B436" t="s">
        <v>722</v>
      </c>
      <c r="C436">
        <v>3</v>
      </c>
      <c r="D436">
        <f>SUMIF('FC Jul 2026 - Sistema'!A:A,B436,'FC Jul 2026 - Sistema'!E:E)</f>
        <v>3</v>
      </c>
      <c r="E436">
        <f t="shared" si="6"/>
        <v>0</v>
      </c>
    </row>
    <row r="437" spans="2:5" hidden="1" x14ac:dyDescent="0.35">
      <c r="B437" t="s">
        <v>724</v>
      </c>
      <c r="D437">
        <f>SUMIF('FC Jul 2026 - Sistema'!A:A,B437,'FC Jul 2026 - Sistema'!E:E)</f>
        <v>0</v>
      </c>
      <c r="E437">
        <f t="shared" si="6"/>
        <v>0</v>
      </c>
    </row>
    <row r="438" spans="2:5" hidden="1" x14ac:dyDescent="0.35">
      <c r="B438" t="s">
        <v>726</v>
      </c>
      <c r="D438">
        <f>SUMIF('FC Jul 2026 - Sistema'!A:A,B438,'FC Jul 2026 - Sistema'!E:E)</f>
        <v>0</v>
      </c>
      <c r="E438">
        <f t="shared" si="6"/>
        <v>0</v>
      </c>
    </row>
    <row r="439" spans="2:5" hidden="1" x14ac:dyDescent="0.35">
      <c r="B439" t="s">
        <v>728</v>
      </c>
      <c r="D439">
        <f>SUMIF('FC Jul 2026 - Sistema'!A:A,B439,'FC Jul 2026 - Sistema'!E:E)</f>
        <v>0</v>
      </c>
      <c r="E439">
        <f t="shared" si="6"/>
        <v>0</v>
      </c>
    </row>
    <row r="440" spans="2:5" hidden="1" x14ac:dyDescent="0.35">
      <c r="B440" t="s">
        <v>730</v>
      </c>
      <c r="D440">
        <f>SUMIF('FC Jul 2026 - Sistema'!A:A,B440,'FC Jul 2026 - Sistema'!E:E)</f>
        <v>0</v>
      </c>
      <c r="E440">
        <f t="shared" si="6"/>
        <v>0</v>
      </c>
    </row>
    <row r="441" spans="2:5" hidden="1" x14ac:dyDescent="0.35">
      <c r="B441" t="s">
        <v>732</v>
      </c>
      <c r="C441">
        <v>6</v>
      </c>
      <c r="D441">
        <f>SUMIF('FC Jul 2026 - Sistema'!A:A,B441,'FC Jul 2026 - Sistema'!E:E)</f>
        <v>6</v>
      </c>
      <c r="E441">
        <f t="shared" si="6"/>
        <v>0</v>
      </c>
    </row>
    <row r="442" spans="2:5" hidden="1" x14ac:dyDescent="0.35">
      <c r="B442" t="s">
        <v>734</v>
      </c>
      <c r="D442">
        <f>SUMIF('FC Jul 2026 - Sistema'!A:A,B442,'FC Jul 2026 - Sistema'!E:E)</f>
        <v>0</v>
      </c>
      <c r="E442">
        <f t="shared" si="6"/>
        <v>0</v>
      </c>
    </row>
    <row r="443" spans="2:5" hidden="1" x14ac:dyDescent="0.35">
      <c r="B443" t="s">
        <v>736</v>
      </c>
      <c r="C443">
        <v>22</v>
      </c>
      <c r="D443">
        <f>SUMIF('FC Jul 2026 - Sistema'!A:A,B443,'FC Jul 2026 - Sistema'!E:E)</f>
        <v>22</v>
      </c>
      <c r="E443">
        <f t="shared" si="6"/>
        <v>0</v>
      </c>
    </row>
    <row r="444" spans="2:5" hidden="1" x14ac:dyDescent="0.35">
      <c r="B444" t="s">
        <v>738</v>
      </c>
      <c r="C444">
        <v>9</v>
      </c>
      <c r="D444">
        <f>SUMIF('FC Jul 2026 - Sistema'!A:A,B444,'FC Jul 2026 - Sistema'!E:E)</f>
        <v>9</v>
      </c>
      <c r="E444">
        <f t="shared" si="6"/>
        <v>0</v>
      </c>
    </row>
    <row r="445" spans="2:5" hidden="1" x14ac:dyDescent="0.35">
      <c r="B445" t="s">
        <v>740</v>
      </c>
      <c r="C445">
        <v>21</v>
      </c>
      <c r="D445">
        <f>SUMIF('FC Jul 2026 - Sistema'!A:A,B445,'FC Jul 2026 - Sistema'!E:E)</f>
        <v>21</v>
      </c>
      <c r="E445">
        <f t="shared" si="6"/>
        <v>0</v>
      </c>
    </row>
    <row r="446" spans="2:5" hidden="1" x14ac:dyDescent="0.35">
      <c r="B446" t="s">
        <v>742</v>
      </c>
      <c r="D446">
        <f>SUMIF('FC Jul 2026 - Sistema'!A:A,B446,'FC Jul 2026 - Sistema'!E:E)</f>
        <v>0</v>
      </c>
      <c r="E446">
        <f t="shared" si="6"/>
        <v>0</v>
      </c>
    </row>
    <row r="447" spans="2:5" hidden="1" x14ac:dyDescent="0.35">
      <c r="B447" t="s">
        <v>744</v>
      </c>
      <c r="C447">
        <v>21</v>
      </c>
      <c r="D447">
        <f>SUMIF('FC Jul 2026 - Sistema'!A:A,B447,'FC Jul 2026 - Sistema'!E:E)</f>
        <v>21</v>
      </c>
      <c r="E447">
        <f t="shared" si="6"/>
        <v>0</v>
      </c>
    </row>
    <row r="448" spans="2:5" hidden="1" x14ac:dyDescent="0.35">
      <c r="B448" t="s">
        <v>746</v>
      </c>
      <c r="C448">
        <v>14</v>
      </c>
      <c r="D448">
        <f>SUMIF('FC Jul 2026 - Sistema'!A:A,B448,'FC Jul 2026 - Sistema'!E:E)</f>
        <v>14</v>
      </c>
      <c r="E448">
        <f t="shared" si="6"/>
        <v>0</v>
      </c>
    </row>
    <row r="449" spans="2:5" hidden="1" x14ac:dyDescent="0.35">
      <c r="B449" t="s">
        <v>748</v>
      </c>
      <c r="C449">
        <v>11</v>
      </c>
      <c r="D449">
        <f>SUMIF('FC Jul 2026 - Sistema'!A:A,B449,'FC Jul 2026 - Sistema'!E:E)</f>
        <v>11</v>
      </c>
      <c r="E449">
        <f t="shared" si="6"/>
        <v>0</v>
      </c>
    </row>
    <row r="450" spans="2:5" x14ac:dyDescent="0.35">
      <c r="B450" t="s">
        <v>750</v>
      </c>
      <c r="D450">
        <f>SUMIF('FC Jul 2026 - Sistema'!A:A,B450,'FC Jul 2026 - Sistema'!E:E)</f>
        <v>25</v>
      </c>
      <c r="E450">
        <f t="shared" si="6"/>
        <v>-25</v>
      </c>
    </row>
    <row r="451" spans="2:5" hidden="1" x14ac:dyDescent="0.35">
      <c r="B451" t="s">
        <v>752</v>
      </c>
      <c r="D451">
        <f>SUMIF('FC Jul 2026 - Sistema'!A:A,B451,'FC Jul 2026 - Sistema'!E:E)</f>
        <v>0</v>
      </c>
      <c r="E451">
        <f t="shared" ref="E451:E514" si="7">C451-D451</f>
        <v>0</v>
      </c>
    </row>
    <row r="452" spans="2:5" hidden="1" x14ac:dyDescent="0.35">
      <c r="B452" t="s">
        <v>754</v>
      </c>
      <c r="D452">
        <f>SUMIF('FC Jul 2026 - Sistema'!A:A,B452,'FC Jul 2026 - Sistema'!E:E)</f>
        <v>0</v>
      </c>
      <c r="E452">
        <f t="shared" si="7"/>
        <v>0</v>
      </c>
    </row>
    <row r="453" spans="2:5" hidden="1" x14ac:dyDescent="0.35">
      <c r="B453" t="s">
        <v>756</v>
      </c>
      <c r="D453">
        <f>SUMIF('FC Jul 2026 - Sistema'!A:A,B453,'FC Jul 2026 - Sistema'!E:E)</f>
        <v>0</v>
      </c>
      <c r="E453">
        <f t="shared" si="7"/>
        <v>0</v>
      </c>
    </row>
    <row r="454" spans="2:5" hidden="1" x14ac:dyDescent="0.35">
      <c r="B454" t="s">
        <v>758</v>
      </c>
      <c r="D454">
        <f>SUMIF('FC Jul 2026 - Sistema'!A:A,B454,'FC Jul 2026 - Sistema'!E:E)</f>
        <v>0</v>
      </c>
      <c r="E454">
        <f t="shared" si="7"/>
        <v>0</v>
      </c>
    </row>
    <row r="455" spans="2:5" hidden="1" x14ac:dyDescent="0.35">
      <c r="B455" t="s">
        <v>760</v>
      </c>
      <c r="C455">
        <v>6</v>
      </c>
      <c r="D455">
        <f>SUMIF('FC Jul 2026 - Sistema'!A:A,B455,'FC Jul 2026 - Sistema'!E:E)</f>
        <v>6</v>
      </c>
      <c r="E455">
        <f t="shared" si="7"/>
        <v>0</v>
      </c>
    </row>
    <row r="456" spans="2:5" hidden="1" x14ac:dyDescent="0.35">
      <c r="B456" t="s">
        <v>762</v>
      </c>
      <c r="C456">
        <v>11</v>
      </c>
      <c r="D456">
        <f>SUMIF('FC Jul 2026 - Sistema'!A:A,B456,'FC Jul 2026 - Sistema'!E:E)</f>
        <v>11</v>
      </c>
      <c r="E456">
        <f t="shared" si="7"/>
        <v>0</v>
      </c>
    </row>
    <row r="457" spans="2:5" hidden="1" x14ac:dyDescent="0.35">
      <c r="B457" t="s">
        <v>764</v>
      </c>
      <c r="D457">
        <f>SUMIF('FC Jul 2026 - Sistema'!A:A,B457,'FC Jul 2026 - Sistema'!E:E)</f>
        <v>0</v>
      </c>
      <c r="E457">
        <f t="shared" si="7"/>
        <v>0</v>
      </c>
    </row>
    <row r="458" spans="2:5" hidden="1" x14ac:dyDescent="0.35">
      <c r="B458" t="s">
        <v>766</v>
      </c>
      <c r="C458">
        <v>1</v>
      </c>
      <c r="D458">
        <f>SUMIF('FC Jul 2026 - Sistema'!A:A,B458,'FC Jul 2026 - Sistema'!E:E)</f>
        <v>1</v>
      </c>
      <c r="E458">
        <f t="shared" si="7"/>
        <v>0</v>
      </c>
    </row>
    <row r="459" spans="2:5" hidden="1" x14ac:dyDescent="0.35">
      <c r="B459" t="s">
        <v>768</v>
      </c>
      <c r="D459">
        <f>SUMIF('FC Jul 2026 - Sistema'!A:A,B459,'FC Jul 2026 - Sistema'!E:E)</f>
        <v>0</v>
      </c>
      <c r="E459">
        <f t="shared" si="7"/>
        <v>0</v>
      </c>
    </row>
    <row r="460" spans="2:5" hidden="1" x14ac:dyDescent="0.35">
      <c r="B460" t="s">
        <v>770</v>
      </c>
      <c r="D460">
        <f>SUMIF('FC Jul 2026 - Sistema'!A:A,B460,'FC Jul 2026 - Sistema'!E:E)</f>
        <v>0</v>
      </c>
      <c r="E460">
        <f t="shared" si="7"/>
        <v>0</v>
      </c>
    </row>
    <row r="461" spans="2:5" hidden="1" x14ac:dyDescent="0.35">
      <c r="B461" t="s">
        <v>772</v>
      </c>
      <c r="C461">
        <v>30</v>
      </c>
      <c r="D461">
        <f>SUMIF('FC Jul 2026 - Sistema'!A:A,B461,'FC Jul 2026 - Sistema'!E:E)</f>
        <v>30</v>
      </c>
      <c r="E461">
        <f t="shared" si="7"/>
        <v>0</v>
      </c>
    </row>
    <row r="462" spans="2:5" hidden="1" x14ac:dyDescent="0.35">
      <c r="B462" t="s">
        <v>774</v>
      </c>
      <c r="D462">
        <f>SUMIF('FC Jul 2026 - Sistema'!A:A,B462,'FC Jul 2026 - Sistema'!E:E)</f>
        <v>0</v>
      </c>
      <c r="E462">
        <f t="shared" si="7"/>
        <v>0</v>
      </c>
    </row>
    <row r="463" spans="2:5" hidden="1" x14ac:dyDescent="0.35">
      <c r="B463" t="s">
        <v>776</v>
      </c>
      <c r="C463">
        <v>10</v>
      </c>
      <c r="D463">
        <f>SUMIF('FC Jul 2026 - Sistema'!A:A,B463,'FC Jul 2026 - Sistema'!E:E)</f>
        <v>10</v>
      </c>
      <c r="E463">
        <f t="shared" si="7"/>
        <v>0</v>
      </c>
    </row>
    <row r="464" spans="2:5" hidden="1" x14ac:dyDescent="0.35">
      <c r="B464" t="s">
        <v>778</v>
      </c>
      <c r="C464">
        <v>92</v>
      </c>
      <c r="D464">
        <f>SUMIF('FC Jul 2026 - Sistema'!A:A,B464,'FC Jul 2026 - Sistema'!E:E)</f>
        <v>92</v>
      </c>
      <c r="E464">
        <f t="shared" si="7"/>
        <v>0</v>
      </c>
    </row>
    <row r="465" spans="2:5" hidden="1" x14ac:dyDescent="0.35">
      <c r="B465" t="s">
        <v>780</v>
      </c>
      <c r="C465">
        <v>2</v>
      </c>
      <c r="D465">
        <f>SUMIF('FC Jul 2026 - Sistema'!A:A,B465,'FC Jul 2026 - Sistema'!E:E)</f>
        <v>2</v>
      </c>
      <c r="E465">
        <f t="shared" si="7"/>
        <v>0</v>
      </c>
    </row>
    <row r="466" spans="2:5" hidden="1" x14ac:dyDescent="0.35">
      <c r="B466" t="s">
        <v>782</v>
      </c>
      <c r="D466">
        <f>SUMIF('FC Jul 2026 - Sistema'!A:A,B466,'FC Jul 2026 - Sistema'!E:E)</f>
        <v>0</v>
      </c>
      <c r="E466">
        <f t="shared" si="7"/>
        <v>0</v>
      </c>
    </row>
    <row r="467" spans="2:5" hidden="1" x14ac:dyDescent="0.35">
      <c r="B467" t="s">
        <v>786</v>
      </c>
      <c r="D467">
        <f>SUMIF('FC Jul 2026 - Sistema'!A:A,B467,'FC Jul 2026 - Sistema'!E:E)</f>
        <v>0</v>
      </c>
      <c r="E467">
        <f t="shared" si="7"/>
        <v>0</v>
      </c>
    </row>
    <row r="468" spans="2:5" hidden="1" x14ac:dyDescent="0.35">
      <c r="B468" t="s">
        <v>788</v>
      </c>
      <c r="C468">
        <v>1</v>
      </c>
      <c r="D468">
        <f>SUMIF('FC Jul 2026 - Sistema'!A:A,B468,'FC Jul 2026 - Sistema'!E:E)</f>
        <v>1</v>
      </c>
      <c r="E468">
        <f t="shared" si="7"/>
        <v>0</v>
      </c>
    </row>
    <row r="469" spans="2:5" hidden="1" x14ac:dyDescent="0.35">
      <c r="B469" t="s">
        <v>790</v>
      </c>
      <c r="D469">
        <f>SUMIF('FC Jul 2026 - Sistema'!A:A,B469,'FC Jul 2026 - Sistema'!E:E)</f>
        <v>0</v>
      </c>
      <c r="E469">
        <f t="shared" si="7"/>
        <v>0</v>
      </c>
    </row>
    <row r="470" spans="2:5" hidden="1" x14ac:dyDescent="0.35">
      <c r="B470" t="s">
        <v>792</v>
      </c>
      <c r="D470">
        <f>SUMIF('FC Jul 2026 - Sistema'!A:A,B470,'FC Jul 2026 - Sistema'!E:E)</f>
        <v>0</v>
      </c>
      <c r="E470">
        <f t="shared" si="7"/>
        <v>0</v>
      </c>
    </row>
    <row r="471" spans="2:5" hidden="1" x14ac:dyDescent="0.35">
      <c r="B471" t="s">
        <v>1968</v>
      </c>
      <c r="D471">
        <f>SUMIF('FC Jul 2026 - Sistema'!A:A,B471,'FC Jul 2026 - Sistema'!E:E)</f>
        <v>0</v>
      </c>
      <c r="E471">
        <f t="shared" si="7"/>
        <v>0</v>
      </c>
    </row>
    <row r="472" spans="2:5" hidden="1" x14ac:dyDescent="0.35">
      <c r="B472" t="s">
        <v>1969</v>
      </c>
      <c r="D472">
        <f>SUMIF('FC Jul 2026 - Sistema'!A:A,B472,'FC Jul 2026 - Sistema'!E:E)</f>
        <v>0</v>
      </c>
      <c r="E472">
        <f t="shared" si="7"/>
        <v>0</v>
      </c>
    </row>
    <row r="473" spans="2:5" hidden="1" x14ac:dyDescent="0.35">
      <c r="B473" t="s">
        <v>794</v>
      </c>
      <c r="C473">
        <v>36</v>
      </c>
      <c r="D473">
        <f>SUMIF('FC Jul 2026 - Sistema'!A:A,B473,'FC Jul 2026 - Sistema'!E:E)</f>
        <v>36</v>
      </c>
      <c r="E473">
        <f t="shared" si="7"/>
        <v>0</v>
      </c>
    </row>
    <row r="474" spans="2:5" hidden="1" x14ac:dyDescent="0.35">
      <c r="B474" t="s">
        <v>797</v>
      </c>
      <c r="C474">
        <v>140</v>
      </c>
      <c r="D474">
        <f>SUMIF('FC Jul 2026 - Sistema'!A:A,B474,'FC Jul 2026 - Sistema'!E:E)</f>
        <v>140</v>
      </c>
      <c r="E474">
        <f t="shared" si="7"/>
        <v>0</v>
      </c>
    </row>
    <row r="475" spans="2:5" hidden="1" x14ac:dyDescent="0.35">
      <c r="B475" t="s">
        <v>799</v>
      </c>
      <c r="D475">
        <f>SUMIF('FC Jul 2026 - Sistema'!A:A,B475,'FC Jul 2026 - Sistema'!E:E)</f>
        <v>0</v>
      </c>
      <c r="E475">
        <f t="shared" si="7"/>
        <v>0</v>
      </c>
    </row>
    <row r="476" spans="2:5" hidden="1" x14ac:dyDescent="0.35">
      <c r="B476" t="s">
        <v>801</v>
      </c>
      <c r="C476">
        <v>20</v>
      </c>
      <c r="D476">
        <f>SUMIF('FC Jul 2026 - Sistema'!A:A,B476,'FC Jul 2026 - Sistema'!E:E)</f>
        <v>20</v>
      </c>
      <c r="E476">
        <f t="shared" si="7"/>
        <v>0</v>
      </c>
    </row>
    <row r="477" spans="2:5" hidden="1" x14ac:dyDescent="0.35">
      <c r="B477" t="s">
        <v>803</v>
      </c>
      <c r="C477">
        <v>30</v>
      </c>
      <c r="D477">
        <f>SUMIF('FC Jul 2026 - Sistema'!A:A,B477,'FC Jul 2026 - Sistema'!E:E)</f>
        <v>30</v>
      </c>
      <c r="E477">
        <f t="shared" si="7"/>
        <v>0</v>
      </c>
    </row>
    <row r="478" spans="2:5" hidden="1" x14ac:dyDescent="0.35">
      <c r="B478" t="s">
        <v>805</v>
      </c>
      <c r="D478">
        <f>SUMIF('FC Jul 2026 - Sistema'!A:A,B478,'FC Jul 2026 - Sistema'!E:E)</f>
        <v>0</v>
      </c>
      <c r="E478">
        <f t="shared" si="7"/>
        <v>0</v>
      </c>
    </row>
    <row r="479" spans="2:5" hidden="1" x14ac:dyDescent="0.35">
      <c r="B479" t="s">
        <v>807</v>
      </c>
      <c r="D479">
        <f>SUMIF('FC Jul 2026 - Sistema'!A:A,B479,'FC Jul 2026 - Sistema'!E:E)</f>
        <v>0</v>
      </c>
      <c r="E479">
        <f t="shared" si="7"/>
        <v>0</v>
      </c>
    </row>
    <row r="480" spans="2:5" hidden="1" x14ac:dyDescent="0.35">
      <c r="B480" t="s">
        <v>1970</v>
      </c>
      <c r="D480">
        <f>SUMIF('FC Jul 2026 - Sistema'!A:A,B480,'FC Jul 2026 - Sistema'!E:E)</f>
        <v>0</v>
      </c>
      <c r="E480">
        <f t="shared" si="7"/>
        <v>0</v>
      </c>
    </row>
    <row r="481" spans="2:5" hidden="1" x14ac:dyDescent="0.35">
      <c r="B481" t="s">
        <v>809</v>
      </c>
      <c r="C481">
        <v>10</v>
      </c>
      <c r="D481">
        <f>SUMIF('FC Jul 2026 - Sistema'!A:A,B481,'FC Jul 2026 - Sistema'!E:E)</f>
        <v>10</v>
      </c>
      <c r="E481">
        <f t="shared" si="7"/>
        <v>0</v>
      </c>
    </row>
    <row r="482" spans="2:5" hidden="1" x14ac:dyDescent="0.35">
      <c r="B482" t="s">
        <v>811</v>
      </c>
      <c r="C482">
        <v>10</v>
      </c>
      <c r="D482">
        <f>SUMIF('FC Jul 2026 - Sistema'!A:A,B482,'FC Jul 2026 - Sistema'!E:E)</f>
        <v>10</v>
      </c>
      <c r="E482">
        <f t="shared" si="7"/>
        <v>0</v>
      </c>
    </row>
    <row r="483" spans="2:5" hidden="1" x14ac:dyDescent="0.35">
      <c r="B483" t="s">
        <v>813</v>
      </c>
      <c r="C483">
        <v>12</v>
      </c>
      <c r="D483">
        <f>SUMIF('FC Jul 2026 - Sistema'!A:A,B483,'FC Jul 2026 - Sistema'!E:E)</f>
        <v>12</v>
      </c>
      <c r="E483">
        <f t="shared" si="7"/>
        <v>0</v>
      </c>
    </row>
    <row r="484" spans="2:5" hidden="1" x14ac:dyDescent="0.35">
      <c r="B484" t="s">
        <v>815</v>
      </c>
      <c r="D484">
        <f>SUMIF('FC Jul 2026 - Sistema'!A:A,B484,'FC Jul 2026 - Sistema'!E:E)</f>
        <v>0</v>
      </c>
      <c r="E484">
        <f t="shared" si="7"/>
        <v>0</v>
      </c>
    </row>
    <row r="485" spans="2:5" hidden="1" x14ac:dyDescent="0.35">
      <c r="B485" t="s">
        <v>817</v>
      </c>
      <c r="D485">
        <f>SUMIF('FC Jul 2026 - Sistema'!A:A,B485,'FC Jul 2026 - Sistema'!E:E)</f>
        <v>0</v>
      </c>
      <c r="E485">
        <f t="shared" si="7"/>
        <v>0</v>
      </c>
    </row>
    <row r="486" spans="2:5" hidden="1" x14ac:dyDescent="0.35">
      <c r="B486" t="s">
        <v>819</v>
      </c>
      <c r="D486">
        <f>SUMIF('FC Jul 2026 - Sistema'!A:A,B486,'FC Jul 2026 - Sistema'!E:E)</f>
        <v>0</v>
      </c>
      <c r="E486">
        <f t="shared" si="7"/>
        <v>0</v>
      </c>
    </row>
    <row r="487" spans="2:5" hidden="1" x14ac:dyDescent="0.35">
      <c r="B487" t="s">
        <v>821</v>
      </c>
      <c r="D487">
        <f>SUMIF('FC Jul 2026 - Sistema'!A:A,B487,'FC Jul 2026 - Sistema'!E:E)</f>
        <v>0</v>
      </c>
      <c r="E487">
        <f t="shared" si="7"/>
        <v>0</v>
      </c>
    </row>
    <row r="488" spans="2:5" hidden="1" x14ac:dyDescent="0.35">
      <c r="B488" t="s">
        <v>823</v>
      </c>
      <c r="D488">
        <f>SUMIF('FC Jul 2026 - Sistema'!A:A,B488,'FC Jul 2026 - Sistema'!E:E)</f>
        <v>0</v>
      </c>
      <c r="E488">
        <f t="shared" si="7"/>
        <v>0</v>
      </c>
    </row>
    <row r="489" spans="2:5" hidden="1" x14ac:dyDescent="0.35">
      <c r="B489" t="s">
        <v>825</v>
      </c>
      <c r="C489">
        <v>20</v>
      </c>
      <c r="D489">
        <f>SUMIF('FC Jul 2026 - Sistema'!A:A,B489,'FC Jul 2026 - Sistema'!E:E)</f>
        <v>20</v>
      </c>
      <c r="E489">
        <f t="shared" si="7"/>
        <v>0</v>
      </c>
    </row>
    <row r="490" spans="2:5" hidden="1" x14ac:dyDescent="0.35">
      <c r="B490" t="s">
        <v>827</v>
      </c>
      <c r="C490">
        <v>19</v>
      </c>
      <c r="D490">
        <f>SUMIF('FC Jul 2026 - Sistema'!A:A,B490,'FC Jul 2026 - Sistema'!E:E)</f>
        <v>19</v>
      </c>
      <c r="E490">
        <f t="shared" si="7"/>
        <v>0</v>
      </c>
    </row>
    <row r="491" spans="2:5" hidden="1" x14ac:dyDescent="0.35">
      <c r="B491" t="s">
        <v>1971</v>
      </c>
      <c r="D491">
        <f>SUMIF('FC Jul 2026 - Sistema'!A:A,B491,'FC Jul 2026 - Sistema'!E:E)</f>
        <v>0</v>
      </c>
      <c r="E491">
        <f t="shared" si="7"/>
        <v>0</v>
      </c>
    </row>
    <row r="492" spans="2:5" hidden="1" x14ac:dyDescent="0.35">
      <c r="B492" t="s">
        <v>830</v>
      </c>
      <c r="D492">
        <f>SUMIF('FC Jul 2026 - Sistema'!A:A,B492,'FC Jul 2026 - Sistema'!E:E)</f>
        <v>0</v>
      </c>
      <c r="E492">
        <f t="shared" si="7"/>
        <v>0</v>
      </c>
    </row>
    <row r="493" spans="2:5" hidden="1" x14ac:dyDescent="0.35">
      <c r="B493" t="s">
        <v>832</v>
      </c>
      <c r="C493">
        <v>8</v>
      </c>
      <c r="D493">
        <f>SUMIF('FC Jul 2026 - Sistema'!A:A,B493,'FC Jul 2026 - Sistema'!E:E)</f>
        <v>8</v>
      </c>
      <c r="E493">
        <f t="shared" si="7"/>
        <v>0</v>
      </c>
    </row>
    <row r="494" spans="2:5" hidden="1" x14ac:dyDescent="0.35">
      <c r="B494" t="s">
        <v>834</v>
      </c>
      <c r="D494">
        <f>SUMIF('FC Jul 2026 - Sistema'!A:A,B494,'FC Jul 2026 - Sistema'!E:E)</f>
        <v>0</v>
      </c>
      <c r="E494">
        <f t="shared" si="7"/>
        <v>0</v>
      </c>
    </row>
    <row r="495" spans="2:5" hidden="1" x14ac:dyDescent="0.35">
      <c r="B495" t="s">
        <v>836</v>
      </c>
      <c r="D495">
        <f>SUMIF('FC Jul 2026 - Sistema'!A:A,B495,'FC Jul 2026 - Sistema'!E:E)</f>
        <v>0</v>
      </c>
      <c r="E495">
        <f t="shared" si="7"/>
        <v>0</v>
      </c>
    </row>
    <row r="496" spans="2:5" hidden="1" x14ac:dyDescent="0.35">
      <c r="B496" t="s">
        <v>838</v>
      </c>
      <c r="C496">
        <v>82</v>
      </c>
      <c r="D496">
        <f>SUMIF('FC Jul 2026 - Sistema'!A:A,B496,'FC Jul 2026 - Sistema'!E:E)</f>
        <v>82</v>
      </c>
      <c r="E496">
        <f t="shared" si="7"/>
        <v>0</v>
      </c>
    </row>
    <row r="497" spans="2:5" hidden="1" x14ac:dyDescent="0.35">
      <c r="B497" t="s">
        <v>840</v>
      </c>
      <c r="D497">
        <f>SUMIF('FC Jul 2026 - Sistema'!A:A,B497,'FC Jul 2026 - Sistema'!E:E)</f>
        <v>0</v>
      </c>
      <c r="E497">
        <f t="shared" si="7"/>
        <v>0</v>
      </c>
    </row>
    <row r="498" spans="2:5" hidden="1" x14ac:dyDescent="0.35">
      <c r="B498" t="s">
        <v>842</v>
      </c>
      <c r="D498">
        <f>SUMIF('FC Jul 2026 - Sistema'!A:A,B498,'FC Jul 2026 - Sistema'!E:E)</f>
        <v>0</v>
      </c>
      <c r="E498">
        <f t="shared" si="7"/>
        <v>0</v>
      </c>
    </row>
    <row r="499" spans="2:5" hidden="1" x14ac:dyDescent="0.35">
      <c r="B499" t="s">
        <v>844</v>
      </c>
      <c r="D499">
        <f>SUMIF('FC Jul 2026 - Sistema'!A:A,B499,'FC Jul 2026 - Sistema'!E:E)</f>
        <v>0</v>
      </c>
      <c r="E499">
        <f t="shared" si="7"/>
        <v>0</v>
      </c>
    </row>
    <row r="500" spans="2:5" hidden="1" x14ac:dyDescent="0.35">
      <c r="B500" t="s">
        <v>846</v>
      </c>
      <c r="C500">
        <v>11</v>
      </c>
      <c r="D500">
        <f>SUMIF('FC Jul 2026 - Sistema'!A:A,B500,'FC Jul 2026 - Sistema'!E:E)</f>
        <v>11</v>
      </c>
      <c r="E500">
        <f t="shared" si="7"/>
        <v>0</v>
      </c>
    </row>
    <row r="501" spans="2:5" hidden="1" x14ac:dyDescent="0.35">
      <c r="B501" t="s">
        <v>848</v>
      </c>
      <c r="D501">
        <f>SUMIF('FC Jul 2026 - Sistema'!A:A,B501,'FC Jul 2026 - Sistema'!E:E)</f>
        <v>0</v>
      </c>
      <c r="E501">
        <f t="shared" si="7"/>
        <v>0</v>
      </c>
    </row>
    <row r="502" spans="2:5" hidden="1" x14ac:dyDescent="0.35">
      <c r="B502" t="s">
        <v>850</v>
      </c>
      <c r="D502">
        <f>SUMIF('FC Jul 2026 - Sistema'!A:A,B502,'FC Jul 2026 - Sistema'!E:E)</f>
        <v>0</v>
      </c>
      <c r="E502">
        <f t="shared" si="7"/>
        <v>0</v>
      </c>
    </row>
    <row r="503" spans="2:5" hidden="1" x14ac:dyDescent="0.35">
      <c r="B503" t="s">
        <v>852</v>
      </c>
      <c r="D503">
        <f>SUMIF('FC Jul 2026 - Sistema'!A:A,B503,'FC Jul 2026 - Sistema'!E:E)</f>
        <v>0</v>
      </c>
      <c r="E503">
        <f t="shared" si="7"/>
        <v>0</v>
      </c>
    </row>
    <row r="504" spans="2:5" hidden="1" x14ac:dyDescent="0.35">
      <c r="B504" t="s">
        <v>854</v>
      </c>
      <c r="D504">
        <f>SUMIF('FC Jul 2026 - Sistema'!A:A,B504,'FC Jul 2026 - Sistema'!E:E)</f>
        <v>0</v>
      </c>
      <c r="E504">
        <f t="shared" si="7"/>
        <v>0</v>
      </c>
    </row>
    <row r="505" spans="2:5" hidden="1" x14ac:dyDescent="0.35">
      <c r="B505" t="s">
        <v>856</v>
      </c>
      <c r="D505">
        <f>SUMIF('FC Jul 2026 - Sistema'!A:A,B505,'FC Jul 2026 - Sistema'!E:E)</f>
        <v>0</v>
      </c>
      <c r="E505">
        <f t="shared" si="7"/>
        <v>0</v>
      </c>
    </row>
    <row r="506" spans="2:5" hidden="1" x14ac:dyDescent="0.35">
      <c r="B506" t="s">
        <v>858</v>
      </c>
      <c r="D506">
        <f>SUMIF('FC Jul 2026 - Sistema'!A:A,B506,'FC Jul 2026 - Sistema'!E:E)</f>
        <v>0</v>
      </c>
      <c r="E506">
        <f t="shared" si="7"/>
        <v>0</v>
      </c>
    </row>
    <row r="507" spans="2:5" hidden="1" x14ac:dyDescent="0.35">
      <c r="B507" t="s">
        <v>860</v>
      </c>
      <c r="C507">
        <v>15</v>
      </c>
      <c r="D507">
        <f>SUMIF('FC Jul 2026 - Sistema'!A:A,B507,'FC Jul 2026 - Sistema'!E:E)</f>
        <v>15</v>
      </c>
      <c r="E507">
        <f t="shared" si="7"/>
        <v>0</v>
      </c>
    </row>
    <row r="508" spans="2:5" hidden="1" x14ac:dyDescent="0.35">
      <c r="B508" t="s">
        <v>862</v>
      </c>
      <c r="C508">
        <v>2</v>
      </c>
      <c r="D508">
        <f>SUMIF('FC Jul 2026 - Sistema'!A:A,B508,'FC Jul 2026 - Sistema'!E:E)</f>
        <v>2</v>
      </c>
      <c r="E508">
        <f t="shared" si="7"/>
        <v>0</v>
      </c>
    </row>
    <row r="509" spans="2:5" hidden="1" x14ac:dyDescent="0.35">
      <c r="B509" t="s">
        <v>864</v>
      </c>
      <c r="D509">
        <f>SUMIF('FC Jul 2026 - Sistema'!A:A,B509,'FC Jul 2026 - Sistema'!E:E)</f>
        <v>0</v>
      </c>
      <c r="E509">
        <f t="shared" si="7"/>
        <v>0</v>
      </c>
    </row>
    <row r="510" spans="2:5" hidden="1" x14ac:dyDescent="0.35">
      <c r="B510" t="s">
        <v>870</v>
      </c>
      <c r="C510">
        <v>1</v>
      </c>
      <c r="D510">
        <f>SUMIF('FC Jul 2026 - Sistema'!A:A,B510,'FC Jul 2026 - Sistema'!E:E)</f>
        <v>1</v>
      </c>
      <c r="E510">
        <f t="shared" si="7"/>
        <v>0</v>
      </c>
    </row>
    <row r="511" spans="2:5" hidden="1" x14ac:dyDescent="0.35">
      <c r="B511" t="s">
        <v>890</v>
      </c>
      <c r="D511">
        <f>SUMIF('FC Jul 2026 - Sistema'!A:A,B511,'FC Jul 2026 - Sistema'!E:E)</f>
        <v>0</v>
      </c>
      <c r="E511">
        <f t="shared" si="7"/>
        <v>0</v>
      </c>
    </row>
    <row r="512" spans="2:5" hidden="1" x14ac:dyDescent="0.35">
      <c r="B512" t="s">
        <v>1096</v>
      </c>
      <c r="D512">
        <f>SUMIF('FC Jul 2026 - Sistema'!A:A,B512,'FC Jul 2026 - Sistema'!E:E)</f>
        <v>0</v>
      </c>
      <c r="E512">
        <f t="shared" si="7"/>
        <v>0</v>
      </c>
    </row>
    <row r="513" spans="2:5" hidden="1" x14ac:dyDescent="0.35">
      <c r="B513" t="s">
        <v>1102</v>
      </c>
      <c r="D513">
        <f>SUMIF('FC Jul 2026 - Sistema'!A:A,B513,'FC Jul 2026 - Sistema'!E:E)</f>
        <v>0</v>
      </c>
      <c r="E513">
        <f t="shared" si="7"/>
        <v>0</v>
      </c>
    </row>
    <row r="514" spans="2:5" hidden="1" x14ac:dyDescent="0.35">
      <c r="B514" t="s">
        <v>1171</v>
      </c>
      <c r="D514">
        <f>SUMIF('FC Jul 2026 - Sistema'!A:A,B514,'FC Jul 2026 - Sistema'!E:E)</f>
        <v>0</v>
      </c>
      <c r="E514">
        <f t="shared" si="7"/>
        <v>0</v>
      </c>
    </row>
    <row r="515" spans="2:5" hidden="1" x14ac:dyDescent="0.35">
      <c r="B515" t="s">
        <v>1506</v>
      </c>
      <c r="D515">
        <f>SUMIF('FC Jul 2026 - Sistema'!A:A,B515,'FC Jul 2026 - Sistema'!E:E)</f>
        <v>0</v>
      </c>
      <c r="E515">
        <f t="shared" ref="E515:E578" si="8">C515-D515</f>
        <v>0</v>
      </c>
    </row>
    <row r="516" spans="2:5" hidden="1" x14ac:dyDescent="0.35">
      <c r="B516" t="s">
        <v>1510</v>
      </c>
      <c r="C516">
        <v>17</v>
      </c>
      <c r="D516">
        <f>SUMIF('FC Jul 2026 - Sistema'!A:A,B516,'FC Jul 2026 - Sistema'!E:E)</f>
        <v>17</v>
      </c>
      <c r="E516">
        <f t="shared" si="8"/>
        <v>0</v>
      </c>
    </row>
    <row r="517" spans="2:5" hidden="1" x14ac:dyDescent="0.35">
      <c r="B517" t="s">
        <v>1512</v>
      </c>
      <c r="C517">
        <v>4</v>
      </c>
      <c r="D517">
        <f>SUMIF('FC Jul 2026 - Sistema'!A:A,B517,'FC Jul 2026 - Sistema'!E:E)</f>
        <v>4</v>
      </c>
      <c r="E517">
        <f t="shared" si="8"/>
        <v>0</v>
      </c>
    </row>
    <row r="518" spans="2:5" hidden="1" x14ac:dyDescent="0.35">
      <c r="B518" t="s">
        <v>1515</v>
      </c>
      <c r="C518">
        <v>5</v>
      </c>
      <c r="D518">
        <f>SUMIF('FC Jul 2026 - Sistema'!A:A,B518,'FC Jul 2026 - Sistema'!E:E)</f>
        <v>5</v>
      </c>
      <c r="E518">
        <f t="shared" si="8"/>
        <v>0</v>
      </c>
    </row>
    <row r="519" spans="2:5" hidden="1" x14ac:dyDescent="0.35">
      <c r="B519" t="s">
        <v>1517</v>
      </c>
      <c r="C519">
        <v>2</v>
      </c>
      <c r="D519">
        <f>SUMIF('FC Jul 2026 - Sistema'!A:A,B519,'FC Jul 2026 - Sistema'!E:E)</f>
        <v>2</v>
      </c>
      <c r="E519">
        <f t="shared" si="8"/>
        <v>0</v>
      </c>
    </row>
    <row r="520" spans="2:5" hidden="1" x14ac:dyDescent="0.35">
      <c r="B520" t="s">
        <v>1519</v>
      </c>
      <c r="C520">
        <v>3</v>
      </c>
      <c r="D520">
        <f>SUMIF('FC Jul 2026 - Sistema'!A:A,B520,'FC Jul 2026 - Sistema'!E:E)</f>
        <v>3</v>
      </c>
      <c r="E520">
        <f t="shared" si="8"/>
        <v>0</v>
      </c>
    </row>
    <row r="521" spans="2:5" hidden="1" x14ac:dyDescent="0.35">
      <c r="B521" t="s">
        <v>1521</v>
      </c>
      <c r="C521">
        <v>3</v>
      </c>
      <c r="D521">
        <f>SUMIF('FC Jul 2026 - Sistema'!A:A,B521,'FC Jul 2026 - Sistema'!E:E)</f>
        <v>3</v>
      </c>
      <c r="E521">
        <f t="shared" si="8"/>
        <v>0</v>
      </c>
    </row>
    <row r="522" spans="2:5" hidden="1" x14ac:dyDescent="0.35">
      <c r="B522" t="s">
        <v>1523</v>
      </c>
      <c r="C522">
        <v>1</v>
      </c>
      <c r="D522">
        <f>SUMIF('FC Jul 2026 - Sistema'!A:A,B522,'FC Jul 2026 - Sistema'!E:E)</f>
        <v>1</v>
      </c>
      <c r="E522">
        <f t="shared" si="8"/>
        <v>0</v>
      </c>
    </row>
    <row r="523" spans="2:5" hidden="1" x14ac:dyDescent="0.35">
      <c r="B523" t="s">
        <v>1525</v>
      </c>
      <c r="C523">
        <v>1</v>
      </c>
      <c r="D523">
        <f>SUMIF('FC Jul 2026 - Sistema'!A:A,B523,'FC Jul 2026 - Sistema'!E:E)</f>
        <v>1</v>
      </c>
      <c r="E523">
        <f t="shared" si="8"/>
        <v>0</v>
      </c>
    </row>
    <row r="524" spans="2:5" hidden="1" x14ac:dyDescent="0.35">
      <c r="B524" t="s">
        <v>1527</v>
      </c>
      <c r="C524">
        <v>3</v>
      </c>
      <c r="D524">
        <f>SUMIF('FC Jul 2026 - Sistema'!A:A,B524,'FC Jul 2026 - Sistema'!E:E)</f>
        <v>3</v>
      </c>
      <c r="E524">
        <f t="shared" si="8"/>
        <v>0</v>
      </c>
    </row>
    <row r="525" spans="2:5" hidden="1" x14ac:dyDescent="0.35">
      <c r="B525" t="s">
        <v>1529</v>
      </c>
      <c r="C525">
        <v>4</v>
      </c>
      <c r="D525">
        <f>SUMIF('FC Jul 2026 - Sistema'!A:A,B525,'FC Jul 2026 - Sistema'!E:E)</f>
        <v>4</v>
      </c>
      <c r="E525">
        <f t="shared" si="8"/>
        <v>0</v>
      </c>
    </row>
    <row r="526" spans="2:5" hidden="1" x14ac:dyDescent="0.35">
      <c r="B526" t="s">
        <v>1531</v>
      </c>
      <c r="C526">
        <v>1</v>
      </c>
      <c r="D526">
        <f>SUMIF('FC Jul 2026 - Sistema'!A:A,B526,'FC Jul 2026 - Sistema'!E:E)</f>
        <v>1</v>
      </c>
      <c r="E526">
        <f t="shared" si="8"/>
        <v>0</v>
      </c>
    </row>
    <row r="527" spans="2:5" hidden="1" x14ac:dyDescent="0.35">
      <c r="B527" t="s">
        <v>1533</v>
      </c>
      <c r="C527">
        <v>1</v>
      </c>
      <c r="D527">
        <f>SUMIF('FC Jul 2026 - Sistema'!A:A,B527,'FC Jul 2026 - Sistema'!E:E)</f>
        <v>1</v>
      </c>
      <c r="E527">
        <f t="shared" si="8"/>
        <v>0</v>
      </c>
    </row>
    <row r="528" spans="2:5" hidden="1" x14ac:dyDescent="0.35">
      <c r="B528" t="s">
        <v>1535</v>
      </c>
      <c r="C528">
        <v>3</v>
      </c>
      <c r="D528">
        <f>SUMIF('FC Jul 2026 - Sistema'!A:A,B528,'FC Jul 2026 - Sistema'!E:E)</f>
        <v>3</v>
      </c>
      <c r="E528">
        <f t="shared" si="8"/>
        <v>0</v>
      </c>
    </row>
    <row r="529" spans="2:5" hidden="1" x14ac:dyDescent="0.35">
      <c r="B529" t="s">
        <v>1537</v>
      </c>
      <c r="C529">
        <v>2</v>
      </c>
      <c r="D529">
        <f>SUMIF('FC Jul 2026 - Sistema'!A:A,B529,'FC Jul 2026 - Sistema'!E:E)</f>
        <v>2</v>
      </c>
      <c r="E529">
        <f t="shared" si="8"/>
        <v>0</v>
      </c>
    </row>
    <row r="530" spans="2:5" hidden="1" x14ac:dyDescent="0.35">
      <c r="B530" t="s">
        <v>1539</v>
      </c>
      <c r="C530">
        <v>4</v>
      </c>
      <c r="D530">
        <f>SUMIF('FC Jul 2026 - Sistema'!A:A,B530,'FC Jul 2026 - Sistema'!E:E)</f>
        <v>4</v>
      </c>
      <c r="E530">
        <f t="shared" si="8"/>
        <v>0</v>
      </c>
    </row>
    <row r="531" spans="2:5" hidden="1" x14ac:dyDescent="0.35">
      <c r="B531" t="s">
        <v>1541</v>
      </c>
      <c r="C531">
        <v>3</v>
      </c>
      <c r="D531">
        <f>SUMIF('FC Jul 2026 - Sistema'!A:A,B531,'FC Jul 2026 - Sistema'!E:E)</f>
        <v>3</v>
      </c>
      <c r="E531">
        <f t="shared" si="8"/>
        <v>0</v>
      </c>
    </row>
    <row r="532" spans="2:5" hidden="1" x14ac:dyDescent="0.35">
      <c r="B532" t="s">
        <v>1543</v>
      </c>
      <c r="D532">
        <f>SUMIF('FC Jul 2026 - Sistema'!A:A,B532,'FC Jul 2026 - Sistema'!E:E)</f>
        <v>0</v>
      </c>
      <c r="E532">
        <f t="shared" si="8"/>
        <v>0</v>
      </c>
    </row>
    <row r="533" spans="2:5" hidden="1" x14ac:dyDescent="0.35">
      <c r="B533" t="s">
        <v>1545</v>
      </c>
      <c r="C533">
        <v>1</v>
      </c>
      <c r="D533">
        <f>SUMIF('FC Jul 2026 - Sistema'!A:A,B533,'FC Jul 2026 - Sistema'!E:E)</f>
        <v>1</v>
      </c>
      <c r="E533">
        <f t="shared" si="8"/>
        <v>0</v>
      </c>
    </row>
    <row r="534" spans="2:5" hidden="1" x14ac:dyDescent="0.35">
      <c r="B534" t="s">
        <v>1547</v>
      </c>
      <c r="C534">
        <v>1</v>
      </c>
      <c r="D534">
        <f>SUMIF('FC Jul 2026 - Sistema'!A:A,B534,'FC Jul 2026 - Sistema'!E:E)</f>
        <v>1</v>
      </c>
      <c r="E534">
        <f t="shared" si="8"/>
        <v>0</v>
      </c>
    </row>
    <row r="535" spans="2:5" hidden="1" x14ac:dyDescent="0.35">
      <c r="B535" t="s">
        <v>1549</v>
      </c>
      <c r="C535">
        <v>4</v>
      </c>
      <c r="D535">
        <f>SUMIF('FC Jul 2026 - Sistema'!A:A,B535,'FC Jul 2026 - Sistema'!E:E)</f>
        <v>4</v>
      </c>
      <c r="E535">
        <f t="shared" si="8"/>
        <v>0</v>
      </c>
    </row>
    <row r="536" spans="2:5" hidden="1" x14ac:dyDescent="0.35">
      <c r="B536" t="s">
        <v>1551</v>
      </c>
      <c r="C536">
        <v>1</v>
      </c>
      <c r="D536">
        <f>SUMIF('FC Jul 2026 - Sistema'!A:A,B536,'FC Jul 2026 - Sistema'!E:E)</f>
        <v>1</v>
      </c>
      <c r="E536">
        <f t="shared" si="8"/>
        <v>0</v>
      </c>
    </row>
    <row r="537" spans="2:5" hidden="1" x14ac:dyDescent="0.35">
      <c r="B537" t="s">
        <v>1553</v>
      </c>
      <c r="C537">
        <v>4</v>
      </c>
      <c r="D537">
        <f>SUMIF('FC Jul 2026 - Sistema'!A:A,B537,'FC Jul 2026 - Sistema'!E:E)</f>
        <v>4</v>
      </c>
      <c r="E537">
        <f t="shared" si="8"/>
        <v>0</v>
      </c>
    </row>
    <row r="538" spans="2:5" hidden="1" x14ac:dyDescent="0.35">
      <c r="B538" t="s">
        <v>1555</v>
      </c>
      <c r="C538">
        <v>1</v>
      </c>
      <c r="D538">
        <f>SUMIF('FC Jul 2026 - Sistema'!A:A,B538,'FC Jul 2026 - Sistema'!E:E)</f>
        <v>1</v>
      </c>
      <c r="E538">
        <f t="shared" si="8"/>
        <v>0</v>
      </c>
    </row>
    <row r="539" spans="2:5" hidden="1" x14ac:dyDescent="0.35">
      <c r="B539" t="s">
        <v>1557</v>
      </c>
      <c r="C539">
        <v>1</v>
      </c>
      <c r="D539">
        <f>SUMIF('FC Jul 2026 - Sistema'!A:A,B539,'FC Jul 2026 - Sistema'!E:E)</f>
        <v>1</v>
      </c>
      <c r="E539">
        <f t="shared" si="8"/>
        <v>0</v>
      </c>
    </row>
    <row r="540" spans="2:5" hidden="1" x14ac:dyDescent="0.35">
      <c r="B540" t="s">
        <v>1559</v>
      </c>
      <c r="C540">
        <v>1</v>
      </c>
      <c r="D540">
        <f>SUMIF('FC Jul 2026 - Sistema'!A:A,B540,'FC Jul 2026 - Sistema'!E:E)</f>
        <v>1</v>
      </c>
      <c r="E540">
        <f t="shared" si="8"/>
        <v>0</v>
      </c>
    </row>
    <row r="541" spans="2:5" hidden="1" x14ac:dyDescent="0.35">
      <c r="B541" t="s">
        <v>1561</v>
      </c>
      <c r="C541">
        <v>2</v>
      </c>
      <c r="D541">
        <f>SUMIF('FC Jul 2026 - Sistema'!A:A,B541,'FC Jul 2026 - Sistema'!E:E)</f>
        <v>2</v>
      </c>
      <c r="E541">
        <f t="shared" si="8"/>
        <v>0</v>
      </c>
    </row>
    <row r="542" spans="2:5" hidden="1" x14ac:dyDescent="0.35">
      <c r="B542" t="s">
        <v>1563</v>
      </c>
      <c r="C542">
        <v>1</v>
      </c>
      <c r="D542">
        <f>SUMIF('FC Jul 2026 - Sistema'!A:A,B542,'FC Jul 2026 - Sistema'!E:E)</f>
        <v>1</v>
      </c>
      <c r="E542">
        <f t="shared" si="8"/>
        <v>0</v>
      </c>
    </row>
    <row r="543" spans="2:5" hidden="1" x14ac:dyDescent="0.35">
      <c r="B543" t="s">
        <v>1565</v>
      </c>
      <c r="C543">
        <v>4</v>
      </c>
      <c r="D543">
        <f>SUMIF('FC Jul 2026 - Sistema'!A:A,B543,'FC Jul 2026 - Sistema'!E:E)</f>
        <v>4</v>
      </c>
      <c r="E543">
        <f t="shared" si="8"/>
        <v>0</v>
      </c>
    </row>
    <row r="544" spans="2:5" hidden="1" x14ac:dyDescent="0.35">
      <c r="B544" t="s">
        <v>1567</v>
      </c>
      <c r="C544">
        <v>4</v>
      </c>
      <c r="D544">
        <f>SUMIF('FC Jul 2026 - Sistema'!A:A,B544,'FC Jul 2026 - Sistema'!E:E)</f>
        <v>4</v>
      </c>
      <c r="E544">
        <f t="shared" si="8"/>
        <v>0</v>
      </c>
    </row>
    <row r="545" spans="2:5" hidden="1" x14ac:dyDescent="0.35">
      <c r="B545" t="s">
        <v>1569</v>
      </c>
      <c r="C545">
        <v>3</v>
      </c>
      <c r="D545">
        <f>SUMIF('FC Jul 2026 - Sistema'!A:A,B545,'FC Jul 2026 - Sistema'!E:E)</f>
        <v>3</v>
      </c>
      <c r="E545">
        <f t="shared" si="8"/>
        <v>0</v>
      </c>
    </row>
    <row r="546" spans="2:5" hidden="1" x14ac:dyDescent="0.35">
      <c r="B546" t="s">
        <v>1571</v>
      </c>
      <c r="C546">
        <v>11</v>
      </c>
      <c r="D546">
        <f>SUMIF('FC Jul 2026 - Sistema'!A:A,B546,'FC Jul 2026 - Sistema'!E:E)</f>
        <v>11</v>
      </c>
      <c r="E546">
        <f t="shared" si="8"/>
        <v>0</v>
      </c>
    </row>
    <row r="547" spans="2:5" hidden="1" x14ac:dyDescent="0.35">
      <c r="B547" t="s">
        <v>1573</v>
      </c>
      <c r="C547">
        <v>7</v>
      </c>
      <c r="D547">
        <f>SUMIF('FC Jul 2026 - Sistema'!A:A,B547,'FC Jul 2026 - Sistema'!E:E)</f>
        <v>7</v>
      </c>
      <c r="E547">
        <f t="shared" si="8"/>
        <v>0</v>
      </c>
    </row>
    <row r="548" spans="2:5" hidden="1" x14ac:dyDescent="0.35">
      <c r="B548" t="s">
        <v>1575</v>
      </c>
      <c r="C548">
        <v>7</v>
      </c>
      <c r="D548">
        <f>SUMIF('FC Jul 2026 - Sistema'!A:A,B548,'FC Jul 2026 - Sistema'!E:E)</f>
        <v>7</v>
      </c>
      <c r="E548">
        <f t="shared" si="8"/>
        <v>0</v>
      </c>
    </row>
    <row r="549" spans="2:5" hidden="1" x14ac:dyDescent="0.35">
      <c r="B549" t="s">
        <v>1577</v>
      </c>
      <c r="C549">
        <v>8</v>
      </c>
      <c r="D549">
        <f>SUMIF('FC Jul 2026 - Sistema'!A:A,B549,'FC Jul 2026 - Sistema'!E:E)</f>
        <v>8</v>
      </c>
      <c r="E549">
        <f t="shared" si="8"/>
        <v>0</v>
      </c>
    </row>
    <row r="550" spans="2:5" hidden="1" x14ac:dyDescent="0.35">
      <c r="B550" t="s">
        <v>1579</v>
      </c>
      <c r="C550">
        <v>6</v>
      </c>
      <c r="D550">
        <f>SUMIF('FC Jul 2026 - Sistema'!A:A,B550,'FC Jul 2026 - Sistema'!E:E)</f>
        <v>6</v>
      </c>
      <c r="E550">
        <f t="shared" si="8"/>
        <v>0</v>
      </c>
    </row>
    <row r="551" spans="2:5" hidden="1" x14ac:dyDescent="0.35">
      <c r="B551" t="s">
        <v>1581</v>
      </c>
      <c r="C551">
        <v>3</v>
      </c>
      <c r="D551">
        <f>SUMIF('FC Jul 2026 - Sistema'!A:A,B551,'FC Jul 2026 - Sistema'!E:E)</f>
        <v>3</v>
      </c>
      <c r="E551">
        <f t="shared" si="8"/>
        <v>0</v>
      </c>
    </row>
    <row r="552" spans="2:5" hidden="1" x14ac:dyDescent="0.35">
      <c r="B552" t="s">
        <v>1583</v>
      </c>
      <c r="C552">
        <v>5</v>
      </c>
      <c r="D552">
        <f>SUMIF('FC Jul 2026 - Sistema'!A:A,B552,'FC Jul 2026 - Sistema'!E:E)</f>
        <v>5</v>
      </c>
      <c r="E552">
        <f t="shared" si="8"/>
        <v>0</v>
      </c>
    </row>
    <row r="553" spans="2:5" hidden="1" x14ac:dyDescent="0.35">
      <c r="B553" t="s">
        <v>1585</v>
      </c>
      <c r="C553">
        <v>7</v>
      </c>
      <c r="D553">
        <f>SUMIF('FC Jul 2026 - Sistema'!A:A,B553,'FC Jul 2026 - Sistema'!E:E)</f>
        <v>7</v>
      </c>
      <c r="E553">
        <f t="shared" si="8"/>
        <v>0</v>
      </c>
    </row>
    <row r="554" spans="2:5" hidden="1" x14ac:dyDescent="0.35">
      <c r="B554" t="s">
        <v>1587</v>
      </c>
      <c r="C554">
        <v>2</v>
      </c>
      <c r="D554">
        <f>SUMIF('FC Jul 2026 - Sistema'!A:A,B554,'FC Jul 2026 - Sistema'!E:E)</f>
        <v>2</v>
      </c>
      <c r="E554">
        <f t="shared" si="8"/>
        <v>0</v>
      </c>
    </row>
    <row r="555" spans="2:5" hidden="1" x14ac:dyDescent="0.35">
      <c r="B555" t="s">
        <v>1589</v>
      </c>
      <c r="C555">
        <v>5</v>
      </c>
      <c r="D555">
        <f>SUMIF('FC Jul 2026 - Sistema'!A:A,B555,'FC Jul 2026 - Sistema'!E:E)</f>
        <v>5</v>
      </c>
      <c r="E555">
        <f t="shared" si="8"/>
        <v>0</v>
      </c>
    </row>
    <row r="556" spans="2:5" hidden="1" x14ac:dyDescent="0.35">
      <c r="B556" t="s">
        <v>1591</v>
      </c>
      <c r="D556">
        <f>SUMIF('FC Jul 2026 - Sistema'!A:A,B556,'FC Jul 2026 - Sistema'!E:E)</f>
        <v>0</v>
      </c>
      <c r="E556">
        <f t="shared" si="8"/>
        <v>0</v>
      </c>
    </row>
    <row r="557" spans="2:5" hidden="1" x14ac:dyDescent="0.35">
      <c r="B557" t="s">
        <v>1593</v>
      </c>
      <c r="D557">
        <f>SUMIF('FC Jul 2026 - Sistema'!A:A,B557,'FC Jul 2026 - Sistema'!E:E)</f>
        <v>0</v>
      </c>
      <c r="E557">
        <f t="shared" si="8"/>
        <v>0</v>
      </c>
    </row>
    <row r="558" spans="2:5" hidden="1" x14ac:dyDescent="0.35">
      <c r="B558" t="s">
        <v>1595</v>
      </c>
      <c r="D558">
        <f>SUMIF('FC Jul 2026 - Sistema'!A:A,B558,'FC Jul 2026 - Sistema'!E:E)</f>
        <v>0</v>
      </c>
      <c r="E558">
        <f t="shared" si="8"/>
        <v>0</v>
      </c>
    </row>
    <row r="559" spans="2:5" hidden="1" x14ac:dyDescent="0.35">
      <c r="B559" t="s">
        <v>1597</v>
      </c>
      <c r="D559">
        <f>SUMIF('FC Jul 2026 - Sistema'!A:A,B559,'FC Jul 2026 - Sistema'!E:E)</f>
        <v>0</v>
      </c>
      <c r="E559">
        <f t="shared" si="8"/>
        <v>0</v>
      </c>
    </row>
    <row r="560" spans="2:5" hidden="1" x14ac:dyDescent="0.35">
      <c r="B560" t="s">
        <v>1599</v>
      </c>
      <c r="D560">
        <f>SUMIF('FC Jul 2026 - Sistema'!A:A,B560,'FC Jul 2026 - Sistema'!E:E)</f>
        <v>0</v>
      </c>
      <c r="E560">
        <f t="shared" si="8"/>
        <v>0</v>
      </c>
    </row>
    <row r="561" spans="2:5" hidden="1" x14ac:dyDescent="0.35">
      <c r="B561" t="s">
        <v>1601</v>
      </c>
      <c r="D561">
        <f>SUMIF('FC Jul 2026 - Sistema'!A:A,B561,'FC Jul 2026 - Sistema'!E:E)</f>
        <v>0</v>
      </c>
      <c r="E561">
        <f t="shared" si="8"/>
        <v>0</v>
      </c>
    </row>
    <row r="562" spans="2:5" hidden="1" x14ac:dyDescent="0.35">
      <c r="B562" t="s">
        <v>1603</v>
      </c>
      <c r="D562">
        <f>SUMIF('FC Jul 2026 - Sistema'!A:A,B562,'FC Jul 2026 - Sistema'!E:E)</f>
        <v>0</v>
      </c>
      <c r="E562">
        <f t="shared" si="8"/>
        <v>0</v>
      </c>
    </row>
    <row r="563" spans="2:5" hidden="1" x14ac:dyDescent="0.35">
      <c r="B563" t="s">
        <v>1605</v>
      </c>
      <c r="C563">
        <v>1</v>
      </c>
      <c r="D563">
        <f>SUMIF('FC Jul 2026 - Sistema'!A:A,B563,'FC Jul 2026 - Sistema'!E:E)</f>
        <v>1</v>
      </c>
      <c r="E563">
        <f t="shared" si="8"/>
        <v>0</v>
      </c>
    </row>
    <row r="564" spans="2:5" hidden="1" x14ac:dyDescent="0.35">
      <c r="B564" t="s">
        <v>1607</v>
      </c>
      <c r="C564">
        <v>3</v>
      </c>
      <c r="D564">
        <f>SUMIF('FC Jul 2026 - Sistema'!A:A,B564,'FC Jul 2026 - Sistema'!E:E)</f>
        <v>3</v>
      </c>
      <c r="E564">
        <f t="shared" si="8"/>
        <v>0</v>
      </c>
    </row>
    <row r="565" spans="2:5" hidden="1" x14ac:dyDescent="0.35">
      <c r="B565" t="s">
        <v>1609</v>
      </c>
      <c r="C565">
        <v>17</v>
      </c>
      <c r="D565">
        <f>SUMIF('FC Jul 2026 - Sistema'!A:A,B565,'FC Jul 2026 - Sistema'!E:E)</f>
        <v>17</v>
      </c>
      <c r="E565">
        <f t="shared" si="8"/>
        <v>0</v>
      </c>
    </row>
    <row r="566" spans="2:5" hidden="1" x14ac:dyDescent="0.35">
      <c r="B566" t="s">
        <v>1611</v>
      </c>
      <c r="C566">
        <v>14</v>
      </c>
      <c r="D566">
        <f>SUMIF('FC Jul 2026 - Sistema'!A:A,B566,'FC Jul 2026 - Sistema'!E:E)</f>
        <v>14</v>
      </c>
      <c r="E566">
        <f t="shared" si="8"/>
        <v>0</v>
      </c>
    </row>
    <row r="567" spans="2:5" hidden="1" x14ac:dyDescent="0.35">
      <c r="B567" t="s">
        <v>1613</v>
      </c>
      <c r="C567">
        <v>1</v>
      </c>
      <c r="D567">
        <f>SUMIF('FC Jul 2026 - Sistema'!A:A,B567,'FC Jul 2026 - Sistema'!E:E)</f>
        <v>1</v>
      </c>
      <c r="E567">
        <f t="shared" si="8"/>
        <v>0</v>
      </c>
    </row>
    <row r="568" spans="2:5" hidden="1" x14ac:dyDescent="0.35">
      <c r="B568" t="s">
        <v>1615</v>
      </c>
      <c r="C568">
        <v>2</v>
      </c>
      <c r="D568">
        <f>SUMIF('FC Jul 2026 - Sistema'!A:A,B568,'FC Jul 2026 - Sistema'!E:E)</f>
        <v>2</v>
      </c>
      <c r="E568">
        <f t="shared" si="8"/>
        <v>0</v>
      </c>
    </row>
    <row r="569" spans="2:5" hidden="1" x14ac:dyDescent="0.35">
      <c r="B569" t="s">
        <v>1617</v>
      </c>
      <c r="C569">
        <v>2</v>
      </c>
      <c r="D569">
        <f>SUMIF('FC Jul 2026 - Sistema'!A:A,B569,'FC Jul 2026 - Sistema'!E:E)</f>
        <v>2</v>
      </c>
      <c r="E569">
        <f t="shared" si="8"/>
        <v>0</v>
      </c>
    </row>
    <row r="570" spans="2:5" hidden="1" x14ac:dyDescent="0.35">
      <c r="B570" t="s">
        <v>1619</v>
      </c>
      <c r="C570">
        <v>2</v>
      </c>
      <c r="D570">
        <f>SUMIF('FC Jul 2026 - Sistema'!A:A,B570,'FC Jul 2026 - Sistema'!E:E)</f>
        <v>2</v>
      </c>
      <c r="E570">
        <f t="shared" si="8"/>
        <v>0</v>
      </c>
    </row>
    <row r="571" spans="2:5" hidden="1" x14ac:dyDescent="0.35">
      <c r="B571" t="s">
        <v>1621</v>
      </c>
      <c r="C571">
        <v>2</v>
      </c>
      <c r="D571">
        <f>SUMIF('FC Jul 2026 - Sistema'!A:A,B571,'FC Jul 2026 - Sistema'!E:E)</f>
        <v>2</v>
      </c>
      <c r="E571">
        <f t="shared" si="8"/>
        <v>0</v>
      </c>
    </row>
    <row r="572" spans="2:5" hidden="1" x14ac:dyDescent="0.35">
      <c r="B572" t="s">
        <v>1623</v>
      </c>
      <c r="C572">
        <v>3</v>
      </c>
      <c r="D572">
        <f>SUMIF('FC Jul 2026 - Sistema'!A:A,B572,'FC Jul 2026 - Sistema'!E:E)</f>
        <v>3</v>
      </c>
      <c r="E572">
        <f t="shared" si="8"/>
        <v>0</v>
      </c>
    </row>
    <row r="573" spans="2:5" hidden="1" x14ac:dyDescent="0.35">
      <c r="B573" t="s">
        <v>1625</v>
      </c>
      <c r="C573">
        <v>1</v>
      </c>
      <c r="D573">
        <f>SUMIF('FC Jul 2026 - Sistema'!A:A,B573,'FC Jul 2026 - Sistema'!E:E)</f>
        <v>1</v>
      </c>
      <c r="E573">
        <f t="shared" si="8"/>
        <v>0</v>
      </c>
    </row>
    <row r="574" spans="2:5" hidden="1" x14ac:dyDescent="0.35">
      <c r="B574" t="s">
        <v>1627</v>
      </c>
      <c r="C574">
        <v>2</v>
      </c>
      <c r="D574">
        <f>SUMIF('FC Jul 2026 - Sistema'!A:A,B574,'FC Jul 2026 - Sistema'!E:E)</f>
        <v>2</v>
      </c>
      <c r="E574">
        <f t="shared" si="8"/>
        <v>0</v>
      </c>
    </row>
    <row r="575" spans="2:5" hidden="1" x14ac:dyDescent="0.35">
      <c r="B575" t="s">
        <v>1629</v>
      </c>
      <c r="C575">
        <v>4</v>
      </c>
      <c r="D575">
        <f>SUMIF('FC Jul 2026 - Sistema'!A:A,B575,'FC Jul 2026 - Sistema'!E:E)</f>
        <v>4</v>
      </c>
      <c r="E575">
        <f t="shared" si="8"/>
        <v>0</v>
      </c>
    </row>
    <row r="576" spans="2:5" hidden="1" x14ac:dyDescent="0.35">
      <c r="B576" t="s">
        <v>1631</v>
      </c>
      <c r="C576">
        <v>4</v>
      </c>
      <c r="D576">
        <f>SUMIF('FC Jul 2026 - Sistema'!A:A,B576,'FC Jul 2026 - Sistema'!E:E)</f>
        <v>4</v>
      </c>
      <c r="E576">
        <f t="shared" si="8"/>
        <v>0</v>
      </c>
    </row>
    <row r="577" spans="2:5" hidden="1" x14ac:dyDescent="0.35">
      <c r="B577" t="s">
        <v>1633</v>
      </c>
      <c r="C577">
        <v>1</v>
      </c>
      <c r="D577">
        <f>SUMIF('FC Jul 2026 - Sistema'!A:A,B577,'FC Jul 2026 - Sistema'!E:E)</f>
        <v>1</v>
      </c>
      <c r="E577">
        <f t="shared" si="8"/>
        <v>0</v>
      </c>
    </row>
    <row r="578" spans="2:5" hidden="1" x14ac:dyDescent="0.35">
      <c r="B578" t="s">
        <v>1635</v>
      </c>
      <c r="C578">
        <v>5</v>
      </c>
      <c r="D578">
        <f>SUMIF('FC Jul 2026 - Sistema'!A:A,B578,'FC Jul 2026 - Sistema'!E:E)</f>
        <v>5</v>
      </c>
      <c r="E578">
        <f t="shared" si="8"/>
        <v>0</v>
      </c>
    </row>
    <row r="579" spans="2:5" hidden="1" x14ac:dyDescent="0.35">
      <c r="B579" t="s">
        <v>1637</v>
      </c>
      <c r="C579">
        <v>3</v>
      </c>
      <c r="D579">
        <f>SUMIF('FC Jul 2026 - Sistema'!A:A,B579,'FC Jul 2026 - Sistema'!E:E)</f>
        <v>3</v>
      </c>
      <c r="E579">
        <f t="shared" ref="E579:E642" si="9">C579-D579</f>
        <v>0</v>
      </c>
    </row>
    <row r="580" spans="2:5" hidden="1" x14ac:dyDescent="0.35">
      <c r="B580" t="s">
        <v>1639</v>
      </c>
      <c r="C580">
        <v>3</v>
      </c>
      <c r="D580">
        <f>SUMIF('FC Jul 2026 - Sistema'!A:A,B580,'FC Jul 2026 - Sistema'!E:E)</f>
        <v>3</v>
      </c>
      <c r="E580">
        <f t="shared" si="9"/>
        <v>0</v>
      </c>
    </row>
    <row r="581" spans="2:5" hidden="1" x14ac:dyDescent="0.35">
      <c r="B581" t="s">
        <v>1641</v>
      </c>
      <c r="C581">
        <v>4</v>
      </c>
      <c r="D581">
        <f>SUMIF('FC Jul 2026 - Sistema'!A:A,B581,'FC Jul 2026 - Sistema'!E:E)</f>
        <v>4</v>
      </c>
      <c r="E581">
        <f t="shared" si="9"/>
        <v>0</v>
      </c>
    </row>
    <row r="582" spans="2:5" hidden="1" x14ac:dyDescent="0.35">
      <c r="B582" t="s">
        <v>1643</v>
      </c>
      <c r="C582">
        <v>12</v>
      </c>
      <c r="D582">
        <f>SUMIF('FC Jul 2026 - Sistema'!A:A,B582,'FC Jul 2026 - Sistema'!E:E)</f>
        <v>12</v>
      </c>
      <c r="E582">
        <f t="shared" si="9"/>
        <v>0</v>
      </c>
    </row>
    <row r="583" spans="2:5" hidden="1" x14ac:dyDescent="0.35">
      <c r="B583" t="s">
        <v>1645</v>
      </c>
      <c r="C583">
        <v>5</v>
      </c>
      <c r="D583">
        <f>SUMIF('FC Jul 2026 - Sistema'!A:A,B583,'FC Jul 2026 - Sistema'!E:E)</f>
        <v>5</v>
      </c>
      <c r="E583">
        <f t="shared" si="9"/>
        <v>0</v>
      </c>
    </row>
    <row r="584" spans="2:5" hidden="1" x14ac:dyDescent="0.35">
      <c r="B584" t="s">
        <v>1647</v>
      </c>
      <c r="C584">
        <v>3</v>
      </c>
      <c r="D584">
        <f>SUMIF('FC Jul 2026 - Sistema'!A:A,B584,'FC Jul 2026 - Sistema'!E:E)</f>
        <v>3</v>
      </c>
      <c r="E584">
        <f t="shared" si="9"/>
        <v>0</v>
      </c>
    </row>
    <row r="585" spans="2:5" hidden="1" x14ac:dyDescent="0.35">
      <c r="B585" t="s">
        <v>1649</v>
      </c>
      <c r="C585">
        <v>3</v>
      </c>
      <c r="D585">
        <f>SUMIF('FC Jul 2026 - Sistema'!A:A,B585,'FC Jul 2026 - Sistema'!E:E)</f>
        <v>3</v>
      </c>
      <c r="E585">
        <f t="shared" si="9"/>
        <v>0</v>
      </c>
    </row>
    <row r="586" spans="2:5" hidden="1" x14ac:dyDescent="0.35">
      <c r="B586" t="s">
        <v>1651</v>
      </c>
      <c r="C586">
        <v>3</v>
      </c>
      <c r="D586">
        <f>SUMIF('FC Jul 2026 - Sistema'!A:A,B586,'FC Jul 2026 - Sistema'!E:E)</f>
        <v>3</v>
      </c>
      <c r="E586">
        <f t="shared" si="9"/>
        <v>0</v>
      </c>
    </row>
    <row r="587" spans="2:5" hidden="1" x14ac:dyDescent="0.35">
      <c r="B587" t="s">
        <v>1653</v>
      </c>
      <c r="C587">
        <v>2</v>
      </c>
      <c r="D587">
        <f>SUMIF('FC Jul 2026 - Sistema'!A:A,B587,'FC Jul 2026 - Sistema'!E:E)</f>
        <v>2</v>
      </c>
      <c r="E587">
        <f t="shared" si="9"/>
        <v>0</v>
      </c>
    </row>
    <row r="588" spans="2:5" hidden="1" x14ac:dyDescent="0.35">
      <c r="B588" t="s">
        <v>1655</v>
      </c>
      <c r="D588">
        <f>SUMIF('FC Jul 2026 - Sistema'!A:A,B588,'FC Jul 2026 - Sistema'!E:E)</f>
        <v>0</v>
      </c>
      <c r="E588">
        <f t="shared" si="9"/>
        <v>0</v>
      </c>
    </row>
    <row r="589" spans="2:5" hidden="1" x14ac:dyDescent="0.35">
      <c r="B589" t="s">
        <v>1657</v>
      </c>
      <c r="C589">
        <v>2</v>
      </c>
      <c r="D589">
        <f>SUMIF('FC Jul 2026 - Sistema'!A:A,B589,'FC Jul 2026 - Sistema'!E:E)</f>
        <v>2</v>
      </c>
      <c r="E589">
        <f t="shared" si="9"/>
        <v>0</v>
      </c>
    </row>
    <row r="590" spans="2:5" hidden="1" x14ac:dyDescent="0.35">
      <c r="B590" t="s">
        <v>1659</v>
      </c>
      <c r="C590">
        <v>7</v>
      </c>
      <c r="D590">
        <f>SUMIF('FC Jul 2026 - Sistema'!A:A,B590,'FC Jul 2026 - Sistema'!E:E)</f>
        <v>7</v>
      </c>
      <c r="E590">
        <f t="shared" si="9"/>
        <v>0</v>
      </c>
    </row>
    <row r="591" spans="2:5" hidden="1" x14ac:dyDescent="0.35">
      <c r="B591" t="s">
        <v>1661</v>
      </c>
      <c r="D591">
        <f>SUMIF('FC Jul 2026 - Sistema'!A:A,B591,'FC Jul 2026 - Sistema'!E:E)</f>
        <v>0</v>
      </c>
      <c r="E591">
        <f t="shared" si="9"/>
        <v>0</v>
      </c>
    </row>
    <row r="592" spans="2:5" hidden="1" x14ac:dyDescent="0.35">
      <c r="B592" t="s">
        <v>1663</v>
      </c>
      <c r="C592">
        <v>20</v>
      </c>
      <c r="D592">
        <f>SUMIF('FC Jul 2026 - Sistema'!A:A,B592,'FC Jul 2026 - Sistema'!E:E)</f>
        <v>20</v>
      </c>
      <c r="E592">
        <f t="shared" si="9"/>
        <v>0</v>
      </c>
    </row>
    <row r="593" spans="2:5" hidden="1" x14ac:dyDescent="0.35">
      <c r="B593" t="s">
        <v>1665</v>
      </c>
      <c r="D593">
        <f>SUMIF('FC Jul 2026 - Sistema'!A:A,B593,'FC Jul 2026 - Sistema'!E:E)</f>
        <v>0</v>
      </c>
      <c r="E593">
        <f t="shared" si="9"/>
        <v>0</v>
      </c>
    </row>
    <row r="594" spans="2:5" hidden="1" x14ac:dyDescent="0.35">
      <c r="B594" t="s">
        <v>1667</v>
      </c>
      <c r="C594">
        <v>14</v>
      </c>
      <c r="D594">
        <f>SUMIF('FC Jul 2026 - Sistema'!A:A,B594,'FC Jul 2026 - Sistema'!E:E)</f>
        <v>14</v>
      </c>
      <c r="E594">
        <f t="shared" si="9"/>
        <v>0</v>
      </c>
    </row>
    <row r="595" spans="2:5" hidden="1" x14ac:dyDescent="0.35">
      <c r="B595" t="s">
        <v>1669</v>
      </c>
      <c r="D595">
        <f>SUMIF('FC Jul 2026 - Sistema'!A:A,B595,'FC Jul 2026 - Sistema'!E:E)</f>
        <v>0</v>
      </c>
      <c r="E595">
        <f t="shared" si="9"/>
        <v>0</v>
      </c>
    </row>
    <row r="596" spans="2:5" hidden="1" x14ac:dyDescent="0.35">
      <c r="B596" t="s">
        <v>1671</v>
      </c>
      <c r="C596">
        <v>13</v>
      </c>
      <c r="D596">
        <f>SUMIF('FC Jul 2026 - Sistema'!A:A,B596,'FC Jul 2026 - Sistema'!E:E)</f>
        <v>13</v>
      </c>
      <c r="E596">
        <f t="shared" si="9"/>
        <v>0</v>
      </c>
    </row>
    <row r="597" spans="2:5" hidden="1" x14ac:dyDescent="0.35">
      <c r="B597" t="s">
        <v>1673</v>
      </c>
      <c r="D597">
        <f>SUMIF('FC Jul 2026 - Sistema'!A:A,B597,'FC Jul 2026 - Sistema'!E:E)</f>
        <v>0</v>
      </c>
      <c r="E597">
        <f t="shared" si="9"/>
        <v>0</v>
      </c>
    </row>
    <row r="598" spans="2:5" hidden="1" x14ac:dyDescent="0.35">
      <c r="B598" t="s">
        <v>1675</v>
      </c>
      <c r="C598">
        <v>11</v>
      </c>
      <c r="D598">
        <f>SUMIF('FC Jul 2026 - Sistema'!A:A,B598,'FC Jul 2026 - Sistema'!E:E)</f>
        <v>11</v>
      </c>
      <c r="E598">
        <f t="shared" si="9"/>
        <v>0</v>
      </c>
    </row>
    <row r="599" spans="2:5" hidden="1" x14ac:dyDescent="0.35">
      <c r="B599" t="s">
        <v>1677</v>
      </c>
      <c r="C599">
        <v>21</v>
      </c>
      <c r="D599">
        <f>SUMIF('FC Jul 2026 - Sistema'!A:A,B599,'FC Jul 2026 - Sistema'!E:E)</f>
        <v>21</v>
      </c>
      <c r="E599">
        <f t="shared" si="9"/>
        <v>0</v>
      </c>
    </row>
    <row r="600" spans="2:5" hidden="1" x14ac:dyDescent="0.35">
      <c r="B600" t="s">
        <v>1679</v>
      </c>
      <c r="D600">
        <f>SUMIF('FC Jul 2026 - Sistema'!A:A,B600,'FC Jul 2026 - Sistema'!E:E)</f>
        <v>0</v>
      </c>
      <c r="E600">
        <f t="shared" si="9"/>
        <v>0</v>
      </c>
    </row>
    <row r="601" spans="2:5" hidden="1" x14ac:dyDescent="0.35">
      <c r="B601" t="s">
        <v>1681</v>
      </c>
      <c r="D601">
        <f>SUMIF('FC Jul 2026 - Sistema'!A:A,B601,'FC Jul 2026 - Sistema'!E:E)</f>
        <v>0</v>
      </c>
      <c r="E601">
        <f t="shared" si="9"/>
        <v>0</v>
      </c>
    </row>
    <row r="602" spans="2:5" hidden="1" x14ac:dyDescent="0.35">
      <c r="B602" t="s">
        <v>1683</v>
      </c>
      <c r="D602">
        <f>SUMIF('FC Jul 2026 - Sistema'!A:A,B602,'FC Jul 2026 - Sistema'!E:E)</f>
        <v>0</v>
      </c>
      <c r="E602">
        <f t="shared" si="9"/>
        <v>0</v>
      </c>
    </row>
    <row r="603" spans="2:5" hidden="1" x14ac:dyDescent="0.35">
      <c r="B603" t="s">
        <v>1685</v>
      </c>
      <c r="D603">
        <f>SUMIF('FC Jul 2026 - Sistema'!A:A,B603,'FC Jul 2026 - Sistema'!E:E)</f>
        <v>0</v>
      </c>
      <c r="E603">
        <f t="shared" si="9"/>
        <v>0</v>
      </c>
    </row>
    <row r="604" spans="2:5" hidden="1" x14ac:dyDescent="0.35">
      <c r="B604" t="s">
        <v>1687</v>
      </c>
      <c r="D604">
        <f>SUMIF('FC Jul 2026 - Sistema'!A:A,B604,'FC Jul 2026 - Sistema'!E:E)</f>
        <v>0</v>
      </c>
      <c r="E604">
        <f t="shared" si="9"/>
        <v>0</v>
      </c>
    </row>
    <row r="605" spans="2:5" hidden="1" x14ac:dyDescent="0.35">
      <c r="B605" t="s">
        <v>1689</v>
      </c>
      <c r="D605">
        <f>SUMIF('FC Jul 2026 - Sistema'!A:A,B605,'FC Jul 2026 - Sistema'!E:E)</f>
        <v>0</v>
      </c>
      <c r="E605">
        <f t="shared" si="9"/>
        <v>0</v>
      </c>
    </row>
    <row r="606" spans="2:5" hidden="1" x14ac:dyDescent="0.35">
      <c r="B606" t="s">
        <v>1691</v>
      </c>
      <c r="C606">
        <v>3</v>
      </c>
      <c r="D606">
        <f>SUMIF('FC Jul 2026 - Sistema'!A:A,B606,'FC Jul 2026 - Sistema'!E:E)</f>
        <v>3</v>
      </c>
      <c r="E606">
        <f t="shared" si="9"/>
        <v>0</v>
      </c>
    </row>
    <row r="607" spans="2:5" hidden="1" x14ac:dyDescent="0.35">
      <c r="B607" t="s">
        <v>1693</v>
      </c>
      <c r="C607">
        <v>5</v>
      </c>
      <c r="D607">
        <f>SUMIF('FC Jul 2026 - Sistema'!A:A,B607,'FC Jul 2026 - Sistema'!E:E)</f>
        <v>5</v>
      </c>
      <c r="E607">
        <f t="shared" si="9"/>
        <v>0</v>
      </c>
    </row>
    <row r="608" spans="2:5" hidden="1" x14ac:dyDescent="0.35">
      <c r="B608" t="s">
        <v>1695</v>
      </c>
      <c r="C608">
        <v>1</v>
      </c>
      <c r="D608">
        <f>SUMIF('FC Jul 2026 - Sistema'!A:A,B608,'FC Jul 2026 - Sistema'!E:E)</f>
        <v>1</v>
      </c>
      <c r="E608">
        <f t="shared" si="9"/>
        <v>0</v>
      </c>
    </row>
    <row r="609" spans="2:5" hidden="1" x14ac:dyDescent="0.35">
      <c r="B609" t="s">
        <v>1697</v>
      </c>
      <c r="C609">
        <v>1</v>
      </c>
      <c r="D609">
        <f>SUMIF('FC Jul 2026 - Sistema'!A:A,B609,'FC Jul 2026 - Sistema'!E:E)</f>
        <v>1</v>
      </c>
      <c r="E609">
        <f t="shared" si="9"/>
        <v>0</v>
      </c>
    </row>
    <row r="610" spans="2:5" hidden="1" x14ac:dyDescent="0.35">
      <c r="B610" t="s">
        <v>1699</v>
      </c>
      <c r="C610">
        <v>8</v>
      </c>
      <c r="D610">
        <f>SUMIF('FC Jul 2026 - Sistema'!A:A,B610,'FC Jul 2026 - Sistema'!E:E)</f>
        <v>8</v>
      </c>
      <c r="E610">
        <f t="shared" si="9"/>
        <v>0</v>
      </c>
    </row>
    <row r="611" spans="2:5" hidden="1" x14ac:dyDescent="0.35">
      <c r="B611" t="s">
        <v>1701</v>
      </c>
      <c r="C611">
        <v>10</v>
      </c>
      <c r="D611">
        <f>SUMIF('FC Jul 2026 - Sistema'!A:A,B611,'FC Jul 2026 - Sistema'!E:E)</f>
        <v>10</v>
      </c>
      <c r="E611">
        <f t="shared" si="9"/>
        <v>0</v>
      </c>
    </row>
    <row r="612" spans="2:5" hidden="1" x14ac:dyDescent="0.35">
      <c r="B612" t="s">
        <v>1703</v>
      </c>
      <c r="C612">
        <v>15</v>
      </c>
      <c r="D612">
        <f>SUMIF('FC Jul 2026 - Sistema'!A:A,B612,'FC Jul 2026 - Sistema'!E:E)</f>
        <v>15</v>
      </c>
      <c r="E612">
        <f t="shared" si="9"/>
        <v>0</v>
      </c>
    </row>
    <row r="613" spans="2:5" hidden="1" x14ac:dyDescent="0.35">
      <c r="B613" t="s">
        <v>1705</v>
      </c>
      <c r="C613">
        <v>4</v>
      </c>
      <c r="D613">
        <f>SUMIF('FC Jul 2026 - Sistema'!A:A,B613,'FC Jul 2026 - Sistema'!E:E)</f>
        <v>4</v>
      </c>
      <c r="E613">
        <f t="shared" si="9"/>
        <v>0</v>
      </c>
    </row>
    <row r="614" spans="2:5" hidden="1" x14ac:dyDescent="0.35">
      <c r="B614" t="s">
        <v>1707</v>
      </c>
      <c r="C614">
        <v>2</v>
      </c>
      <c r="D614">
        <f>SUMIF('FC Jul 2026 - Sistema'!A:A,B614,'FC Jul 2026 - Sistema'!E:E)</f>
        <v>2</v>
      </c>
      <c r="E614">
        <f t="shared" si="9"/>
        <v>0</v>
      </c>
    </row>
    <row r="615" spans="2:5" hidden="1" x14ac:dyDescent="0.35">
      <c r="B615" t="s">
        <v>1709</v>
      </c>
      <c r="C615">
        <v>6</v>
      </c>
      <c r="D615">
        <f>SUMIF('FC Jul 2026 - Sistema'!A:A,B615,'FC Jul 2026 - Sistema'!E:E)</f>
        <v>6</v>
      </c>
      <c r="E615">
        <f t="shared" si="9"/>
        <v>0</v>
      </c>
    </row>
    <row r="616" spans="2:5" hidden="1" x14ac:dyDescent="0.35">
      <c r="B616" t="s">
        <v>1711</v>
      </c>
      <c r="C616">
        <v>12</v>
      </c>
      <c r="D616">
        <f>SUMIF('FC Jul 2026 - Sistema'!A:A,B616,'FC Jul 2026 - Sistema'!E:E)</f>
        <v>12</v>
      </c>
      <c r="E616">
        <f t="shared" si="9"/>
        <v>0</v>
      </c>
    </row>
    <row r="617" spans="2:5" hidden="1" x14ac:dyDescent="0.35">
      <c r="B617" t="s">
        <v>1713</v>
      </c>
      <c r="C617">
        <v>2</v>
      </c>
      <c r="D617">
        <f>SUMIF('FC Jul 2026 - Sistema'!A:A,B617,'FC Jul 2026 - Sistema'!E:E)</f>
        <v>2</v>
      </c>
      <c r="E617">
        <f t="shared" si="9"/>
        <v>0</v>
      </c>
    </row>
    <row r="618" spans="2:5" hidden="1" x14ac:dyDescent="0.35">
      <c r="B618" t="s">
        <v>1972</v>
      </c>
      <c r="D618">
        <f>SUMIF('FC Jul 2026 - Sistema'!A:A,B618,'FC Jul 2026 - Sistema'!E:E)</f>
        <v>0</v>
      </c>
      <c r="E618">
        <f t="shared" si="9"/>
        <v>0</v>
      </c>
    </row>
    <row r="619" spans="2:5" hidden="1" x14ac:dyDescent="0.35">
      <c r="B619" t="s">
        <v>1973</v>
      </c>
      <c r="D619">
        <f>SUMIF('FC Jul 2026 - Sistema'!A:A,B619,'FC Jul 2026 - Sistema'!E:E)</f>
        <v>0</v>
      </c>
      <c r="E619">
        <f t="shared" si="9"/>
        <v>0</v>
      </c>
    </row>
    <row r="620" spans="2:5" hidden="1" x14ac:dyDescent="0.35">
      <c r="B620" t="s">
        <v>1974</v>
      </c>
      <c r="D620">
        <f>SUMIF('FC Jul 2026 - Sistema'!A:A,B620,'FC Jul 2026 - Sistema'!E:E)</f>
        <v>0</v>
      </c>
      <c r="E620">
        <f t="shared" si="9"/>
        <v>0</v>
      </c>
    </row>
    <row r="621" spans="2:5" hidden="1" x14ac:dyDescent="0.35">
      <c r="B621" t="s">
        <v>1975</v>
      </c>
      <c r="D621">
        <f>SUMIF('FC Jul 2026 - Sistema'!A:A,B621,'FC Jul 2026 - Sistema'!E:E)</f>
        <v>0</v>
      </c>
      <c r="E621">
        <f t="shared" si="9"/>
        <v>0</v>
      </c>
    </row>
    <row r="622" spans="2:5" hidden="1" x14ac:dyDescent="0.35">
      <c r="B622" t="s">
        <v>1976</v>
      </c>
      <c r="D622">
        <f>SUMIF('FC Jul 2026 - Sistema'!A:A,B622,'FC Jul 2026 - Sistema'!E:E)</f>
        <v>0</v>
      </c>
      <c r="E622">
        <f t="shared" si="9"/>
        <v>0</v>
      </c>
    </row>
    <row r="623" spans="2:5" hidden="1" x14ac:dyDescent="0.35">
      <c r="B623" t="s">
        <v>1977</v>
      </c>
      <c r="D623">
        <f>SUMIF('FC Jul 2026 - Sistema'!A:A,B623,'FC Jul 2026 - Sistema'!E:E)</f>
        <v>0</v>
      </c>
      <c r="E623">
        <f t="shared" si="9"/>
        <v>0</v>
      </c>
    </row>
    <row r="624" spans="2:5" hidden="1" x14ac:dyDescent="0.35">
      <c r="B624" t="s">
        <v>1978</v>
      </c>
      <c r="D624">
        <f>SUMIF('FC Jul 2026 - Sistema'!A:A,B624,'FC Jul 2026 - Sistema'!E:E)</f>
        <v>0</v>
      </c>
      <c r="E624">
        <f t="shared" si="9"/>
        <v>0</v>
      </c>
    </row>
    <row r="625" spans="2:5" hidden="1" x14ac:dyDescent="0.35">
      <c r="B625" t="s">
        <v>1979</v>
      </c>
      <c r="D625">
        <f>SUMIF('FC Jul 2026 - Sistema'!A:A,B625,'FC Jul 2026 - Sistema'!E:E)</f>
        <v>0</v>
      </c>
      <c r="E625">
        <f t="shared" si="9"/>
        <v>0</v>
      </c>
    </row>
    <row r="626" spans="2:5" hidden="1" x14ac:dyDescent="0.35">
      <c r="B626" t="s">
        <v>1980</v>
      </c>
      <c r="D626">
        <f>SUMIF('FC Jul 2026 - Sistema'!A:A,B626,'FC Jul 2026 - Sistema'!E:E)</f>
        <v>0</v>
      </c>
      <c r="E626">
        <f t="shared" si="9"/>
        <v>0</v>
      </c>
    </row>
    <row r="627" spans="2:5" hidden="1" x14ac:dyDescent="0.35">
      <c r="B627" t="s">
        <v>1981</v>
      </c>
      <c r="D627">
        <f>SUMIF('FC Jul 2026 - Sistema'!A:A,B627,'FC Jul 2026 - Sistema'!E:E)</f>
        <v>0</v>
      </c>
      <c r="E627">
        <f t="shared" si="9"/>
        <v>0</v>
      </c>
    </row>
    <row r="628" spans="2:5" hidden="1" x14ac:dyDescent="0.35">
      <c r="B628" t="s">
        <v>1982</v>
      </c>
      <c r="D628">
        <f>SUMIF('FC Jul 2026 - Sistema'!A:A,B628,'FC Jul 2026 - Sistema'!E:E)</f>
        <v>0</v>
      </c>
      <c r="E628">
        <f t="shared" si="9"/>
        <v>0</v>
      </c>
    </row>
    <row r="629" spans="2:5" hidden="1" x14ac:dyDescent="0.35">
      <c r="B629" t="s">
        <v>1983</v>
      </c>
      <c r="D629">
        <f>SUMIF('FC Jul 2026 - Sistema'!A:A,B629,'FC Jul 2026 - Sistema'!E:E)</f>
        <v>0</v>
      </c>
      <c r="E629">
        <f t="shared" si="9"/>
        <v>0</v>
      </c>
    </row>
    <row r="630" spans="2:5" hidden="1" x14ac:dyDescent="0.35">
      <c r="B630" t="s">
        <v>1984</v>
      </c>
      <c r="D630">
        <f>SUMIF('FC Jul 2026 - Sistema'!A:A,B630,'FC Jul 2026 - Sistema'!E:E)</f>
        <v>0</v>
      </c>
      <c r="E630">
        <f t="shared" si="9"/>
        <v>0</v>
      </c>
    </row>
    <row r="631" spans="2:5" hidden="1" x14ac:dyDescent="0.35">
      <c r="B631" t="s">
        <v>1985</v>
      </c>
      <c r="D631">
        <f>SUMIF('FC Jul 2026 - Sistema'!A:A,B631,'FC Jul 2026 - Sistema'!E:E)</f>
        <v>0</v>
      </c>
      <c r="E631">
        <f t="shared" si="9"/>
        <v>0</v>
      </c>
    </row>
    <row r="632" spans="2:5" hidden="1" x14ac:dyDescent="0.35">
      <c r="B632" t="s">
        <v>1715</v>
      </c>
      <c r="C632">
        <v>20</v>
      </c>
      <c r="D632">
        <f>SUMIF('FC Jul 2026 - Sistema'!A:A,B632,'FC Jul 2026 - Sistema'!E:E)</f>
        <v>20</v>
      </c>
      <c r="E632">
        <f t="shared" si="9"/>
        <v>0</v>
      </c>
    </row>
    <row r="633" spans="2:5" hidden="1" x14ac:dyDescent="0.35">
      <c r="B633" t="s">
        <v>1717</v>
      </c>
      <c r="C633">
        <v>16</v>
      </c>
      <c r="D633">
        <f>SUMIF('FC Jul 2026 - Sistema'!A:A,B633,'FC Jul 2026 - Sistema'!E:E)</f>
        <v>16</v>
      </c>
      <c r="E633">
        <f t="shared" si="9"/>
        <v>0</v>
      </c>
    </row>
    <row r="634" spans="2:5" hidden="1" x14ac:dyDescent="0.35">
      <c r="B634" t="s">
        <v>1719</v>
      </c>
      <c r="D634">
        <f>SUMIF('FC Jul 2026 - Sistema'!A:A,B634,'FC Jul 2026 - Sistema'!E:E)</f>
        <v>0</v>
      </c>
      <c r="E634">
        <f t="shared" si="9"/>
        <v>0</v>
      </c>
    </row>
    <row r="635" spans="2:5" hidden="1" x14ac:dyDescent="0.35">
      <c r="B635" t="s">
        <v>1721</v>
      </c>
      <c r="C635">
        <v>14</v>
      </c>
      <c r="D635">
        <f>SUMIF('FC Jul 2026 - Sistema'!A:A,B635,'FC Jul 2026 - Sistema'!E:E)</f>
        <v>14</v>
      </c>
      <c r="E635">
        <f t="shared" si="9"/>
        <v>0</v>
      </c>
    </row>
    <row r="636" spans="2:5" hidden="1" x14ac:dyDescent="0.35">
      <c r="B636" t="s">
        <v>1723</v>
      </c>
      <c r="C636">
        <v>15</v>
      </c>
      <c r="D636">
        <f>SUMIF('FC Jul 2026 - Sistema'!A:A,B636,'FC Jul 2026 - Sistema'!E:E)</f>
        <v>15</v>
      </c>
      <c r="E636">
        <f t="shared" si="9"/>
        <v>0</v>
      </c>
    </row>
    <row r="637" spans="2:5" hidden="1" x14ac:dyDescent="0.35">
      <c r="B637" t="s">
        <v>1725</v>
      </c>
      <c r="C637">
        <v>20</v>
      </c>
      <c r="D637">
        <f>SUMIF('FC Jul 2026 - Sistema'!A:A,B637,'FC Jul 2026 - Sistema'!E:E)</f>
        <v>20</v>
      </c>
      <c r="E637">
        <f t="shared" si="9"/>
        <v>0</v>
      </c>
    </row>
    <row r="638" spans="2:5" hidden="1" x14ac:dyDescent="0.35">
      <c r="B638" t="s">
        <v>1727</v>
      </c>
      <c r="C638">
        <v>30</v>
      </c>
      <c r="D638">
        <f>SUMIF('FC Jul 2026 - Sistema'!A:A,B638,'FC Jul 2026 - Sistema'!E:E)</f>
        <v>30</v>
      </c>
      <c r="E638">
        <f t="shared" si="9"/>
        <v>0</v>
      </c>
    </row>
    <row r="639" spans="2:5" hidden="1" x14ac:dyDescent="0.35">
      <c r="B639" t="s">
        <v>1729</v>
      </c>
      <c r="C639">
        <v>13</v>
      </c>
      <c r="D639">
        <f>SUMIF('FC Jul 2026 - Sistema'!A:A,B639,'FC Jul 2026 - Sistema'!E:E)</f>
        <v>13</v>
      </c>
      <c r="E639">
        <f t="shared" si="9"/>
        <v>0</v>
      </c>
    </row>
    <row r="640" spans="2:5" hidden="1" x14ac:dyDescent="0.35">
      <c r="B640" t="s">
        <v>1731</v>
      </c>
      <c r="C640">
        <v>10</v>
      </c>
      <c r="D640">
        <f>SUMIF('FC Jul 2026 - Sistema'!A:A,B640,'FC Jul 2026 - Sistema'!E:E)</f>
        <v>10</v>
      </c>
      <c r="E640">
        <f t="shared" si="9"/>
        <v>0</v>
      </c>
    </row>
    <row r="641" spans="2:5" hidden="1" x14ac:dyDescent="0.35">
      <c r="B641" t="s">
        <v>1733</v>
      </c>
      <c r="C641">
        <v>6</v>
      </c>
      <c r="D641">
        <f>SUMIF('FC Jul 2026 - Sistema'!A:A,B641,'FC Jul 2026 - Sistema'!E:E)</f>
        <v>6</v>
      </c>
      <c r="E641">
        <f t="shared" si="9"/>
        <v>0</v>
      </c>
    </row>
    <row r="642" spans="2:5" hidden="1" x14ac:dyDescent="0.35">
      <c r="B642" t="s">
        <v>1735</v>
      </c>
      <c r="C642">
        <v>25</v>
      </c>
      <c r="D642">
        <f>SUMIF('FC Jul 2026 - Sistema'!A:A,B642,'FC Jul 2026 - Sistema'!E:E)</f>
        <v>25</v>
      </c>
      <c r="E642">
        <f t="shared" si="9"/>
        <v>0</v>
      </c>
    </row>
    <row r="643" spans="2:5" hidden="1" x14ac:dyDescent="0.35">
      <c r="B643" t="s">
        <v>1737</v>
      </c>
      <c r="D643">
        <f>SUMIF('FC Jul 2026 - Sistema'!A:A,B643,'FC Jul 2026 - Sistema'!E:E)</f>
        <v>0</v>
      </c>
      <c r="E643">
        <f t="shared" ref="E643:E706" si="10">C643-D643</f>
        <v>0</v>
      </c>
    </row>
    <row r="644" spans="2:5" hidden="1" x14ac:dyDescent="0.35">
      <c r="B644" t="s">
        <v>1739</v>
      </c>
      <c r="D644">
        <f>SUMIF('FC Jul 2026 - Sistema'!A:A,B644,'FC Jul 2026 - Sistema'!E:E)</f>
        <v>0</v>
      </c>
      <c r="E644">
        <f t="shared" si="10"/>
        <v>0</v>
      </c>
    </row>
    <row r="645" spans="2:5" hidden="1" x14ac:dyDescent="0.35">
      <c r="B645" t="s">
        <v>1741</v>
      </c>
      <c r="C645">
        <v>1</v>
      </c>
      <c r="D645">
        <f>SUMIF('FC Jul 2026 - Sistema'!A:A,B645,'FC Jul 2026 - Sistema'!E:E)</f>
        <v>1</v>
      </c>
      <c r="E645">
        <f t="shared" si="10"/>
        <v>0</v>
      </c>
    </row>
    <row r="646" spans="2:5" hidden="1" x14ac:dyDescent="0.35">
      <c r="B646" t="s">
        <v>1743</v>
      </c>
      <c r="C646">
        <v>2</v>
      </c>
      <c r="D646">
        <f>SUMIF('FC Jul 2026 - Sistema'!A:A,B646,'FC Jul 2026 - Sistema'!E:E)</f>
        <v>2</v>
      </c>
      <c r="E646">
        <f t="shared" si="10"/>
        <v>0</v>
      </c>
    </row>
    <row r="647" spans="2:5" hidden="1" x14ac:dyDescent="0.35">
      <c r="B647" t="s">
        <v>1745</v>
      </c>
      <c r="C647">
        <v>3</v>
      </c>
      <c r="D647">
        <f>SUMIF('FC Jul 2026 - Sistema'!A:A,B647,'FC Jul 2026 - Sistema'!E:E)</f>
        <v>3</v>
      </c>
      <c r="E647">
        <f t="shared" si="10"/>
        <v>0</v>
      </c>
    </row>
    <row r="648" spans="2:5" hidden="1" x14ac:dyDescent="0.35">
      <c r="B648" t="s">
        <v>1747</v>
      </c>
      <c r="C648">
        <v>2</v>
      </c>
      <c r="D648">
        <f>SUMIF('FC Jul 2026 - Sistema'!A:A,B648,'FC Jul 2026 - Sistema'!E:E)</f>
        <v>2</v>
      </c>
      <c r="E648">
        <f t="shared" si="10"/>
        <v>0</v>
      </c>
    </row>
    <row r="649" spans="2:5" hidden="1" x14ac:dyDescent="0.35">
      <c r="B649" t="s">
        <v>1749</v>
      </c>
      <c r="C649">
        <v>2</v>
      </c>
      <c r="D649">
        <f>SUMIF('FC Jul 2026 - Sistema'!A:A,B649,'FC Jul 2026 - Sistema'!E:E)</f>
        <v>2</v>
      </c>
      <c r="E649">
        <f t="shared" si="10"/>
        <v>0</v>
      </c>
    </row>
    <row r="650" spans="2:5" hidden="1" x14ac:dyDescent="0.35">
      <c r="B650" t="s">
        <v>1751</v>
      </c>
      <c r="C650">
        <v>5</v>
      </c>
      <c r="D650">
        <f>SUMIF('FC Jul 2026 - Sistema'!A:A,B650,'FC Jul 2026 - Sistema'!E:E)</f>
        <v>5</v>
      </c>
      <c r="E650">
        <f t="shared" si="10"/>
        <v>0</v>
      </c>
    </row>
    <row r="651" spans="2:5" hidden="1" x14ac:dyDescent="0.35">
      <c r="B651" t="s">
        <v>1753</v>
      </c>
      <c r="C651">
        <v>3</v>
      </c>
      <c r="D651">
        <f>SUMIF('FC Jul 2026 - Sistema'!A:A,B651,'FC Jul 2026 - Sistema'!E:E)</f>
        <v>3</v>
      </c>
      <c r="E651">
        <f t="shared" si="10"/>
        <v>0</v>
      </c>
    </row>
    <row r="652" spans="2:5" hidden="1" x14ac:dyDescent="0.35">
      <c r="B652" t="s">
        <v>1755</v>
      </c>
      <c r="C652">
        <v>9</v>
      </c>
      <c r="D652">
        <f>SUMIF('FC Jul 2026 - Sistema'!A:A,B652,'FC Jul 2026 - Sistema'!E:E)</f>
        <v>9</v>
      </c>
      <c r="E652">
        <f t="shared" si="10"/>
        <v>0</v>
      </c>
    </row>
    <row r="653" spans="2:5" hidden="1" x14ac:dyDescent="0.35">
      <c r="B653" t="s">
        <v>1757</v>
      </c>
      <c r="C653">
        <v>13</v>
      </c>
      <c r="D653">
        <f>SUMIF('FC Jul 2026 - Sistema'!A:A,B653,'FC Jul 2026 - Sistema'!E:E)</f>
        <v>13</v>
      </c>
      <c r="E653">
        <f t="shared" si="10"/>
        <v>0</v>
      </c>
    </row>
    <row r="654" spans="2:5" hidden="1" x14ac:dyDescent="0.35">
      <c r="B654" t="s">
        <v>1759</v>
      </c>
      <c r="C654">
        <v>16</v>
      </c>
      <c r="D654">
        <f>SUMIF('FC Jul 2026 - Sistema'!A:A,B654,'FC Jul 2026 - Sistema'!E:E)</f>
        <v>16</v>
      </c>
      <c r="E654">
        <f t="shared" si="10"/>
        <v>0</v>
      </c>
    </row>
    <row r="655" spans="2:5" hidden="1" x14ac:dyDescent="0.35">
      <c r="B655" t="s">
        <v>1761</v>
      </c>
      <c r="C655">
        <v>5</v>
      </c>
      <c r="D655">
        <f>SUMIF('FC Jul 2026 - Sistema'!A:A,B655,'FC Jul 2026 - Sistema'!E:E)</f>
        <v>5</v>
      </c>
      <c r="E655">
        <f t="shared" si="10"/>
        <v>0</v>
      </c>
    </row>
    <row r="656" spans="2:5" hidden="1" x14ac:dyDescent="0.35">
      <c r="B656" t="s">
        <v>1763</v>
      </c>
      <c r="D656">
        <f>SUMIF('FC Jul 2026 - Sistema'!A:A,B656,'FC Jul 2026 - Sistema'!E:E)</f>
        <v>0</v>
      </c>
      <c r="E656">
        <f t="shared" si="10"/>
        <v>0</v>
      </c>
    </row>
    <row r="657" spans="2:5" hidden="1" x14ac:dyDescent="0.35">
      <c r="B657" t="s">
        <v>1765</v>
      </c>
      <c r="D657">
        <f>SUMIF('FC Jul 2026 - Sistema'!A:A,B657,'FC Jul 2026 - Sistema'!E:E)</f>
        <v>0</v>
      </c>
      <c r="E657">
        <f t="shared" si="10"/>
        <v>0</v>
      </c>
    </row>
    <row r="658" spans="2:5" hidden="1" x14ac:dyDescent="0.35">
      <c r="B658" t="s">
        <v>1767</v>
      </c>
      <c r="C658">
        <v>2</v>
      </c>
      <c r="D658">
        <f>SUMIF('FC Jul 2026 - Sistema'!A:A,B658,'FC Jul 2026 - Sistema'!E:E)</f>
        <v>2</v>
      </c>
      <c r="E658">
        <f t="shared" si="10"/>
        <v>0</v>
      </c>
    </row>
    <row r="659" spans="2:5" hidden="1" x14ac:dyDescent="0.35">
      <c r="B659" t="s">
        <v>1769</v>
      </c>
      <c r="D659">
        <f>SUMIF('FC Jul 2026 - Sistema'!A:A,B659,'FC Jul 2026 - Sistema'!E:E)</f>
        <v>0</v>
      </c>
      <c r="E659">
        <f t="shared" si="10"/>
        <v>0</v>
      </c>
    </row>
    <row r="660" spans="2:5" hidden="1" x14ac:dyDescent="0.35">
      <c r="B660" t="s">
        <v>1771</v>
      </c>
      <c r="D660">
        <f>SUMIF('FC Jul 2026 - Sistema'!A:A,B660,'FC Jul 2026 - Sistema'!E:E)</f>
        <v>0</v>
      </c>
      <c r="E660">
        <f t="shared" si="10"/>
        <v>0</v>
      </c>
    </row>
    <row r="661" spans="2:5" hidden="1" x14ac:dyDescent="0.35">
      <c r="B661" t="s">
        <v>1773</v>
      </c>
      <c r="D661">
        <f>SUMIF('FC Jul 2026 - Sistema'!A:A,B661,'FC Jul 2026 - Sistema'!E:E)</f>
        <v>0</v>
      </c>
      <c r="E661">
        <f t="shared" si="10"/>
        <v>0</v>
      </c>
    </row>
    <row r="662" spans="2:5" hidden="1" x14ac:dyDescent="0.35">
      <c r="B662" t="s">
        <v>1775</v>
      </c>
      <c r="C662">
        <v>2</v>
      </c>
      <c r="D662">
        <f>SUMIF('FC Jul 2026 - Sistema'!A:A,B662,'FC Jul 2026 - Sistema'!E:E)</f>
        <v>2</v>
      </c>
      <c r="E662">
        <f t="shared" si="10"/>
        <v>0</v>
      </c>
    </row>
    <row r="663" spans="2:5" hidden="1" x14ac:dyDescent="0.35">
      <c r="B663" t="s">
        <v>1777</v>
      </c>
      <c r="D663">
        <f>SUMIF('FC Jul 2026 - Sistema'!A:A,B663,'FC Jul 2026 - Sistema'!E:E)</f>
        <v>0</v>
      </c>
      <c r="E663">
        <f t="shared" si="10"/>
        <v>0</v>
      </c>
    </row>
    <row r="664" spans="2:5" hidden="1" x14ac:dyDescent="0.35">
      <c r="B664" t="s">
        <v>1779</v>
      </c>
      <c r="C664">
        <v>17</v>
      </c>
      <c r="D664">
        <f>SUMIF('FC Jul 2026 - Sistema'!A:A,B664,'FC Jul 2026 - Sistema'!E:E)</f>
        <v>17</v>
      </c>
      <c r="E664">
        <f t="shared" si="10"/>
        <v>0</v>
      </c>
    </row>
    <row r="665" spans="2:5" hidden="1" x14ac:dyDescent="0.35">
      <c r="B665" t="s">
        <v>1986</v>
      </c>
      <c r="D665">
        <f>SUMIF('FC Jul 2026 - Sistema'!A:A,B665,'FC Jul 2026 - Sistema'!E:E)</f>
        <v>0</v>
      </c>
      <c r="E665">
        <f t="shared" si="10"/>
        <v>0</v>
      </c>
    </row>
    <row r="666" spans="2:5" hidden="1" x14ac:dyDescent="0.35">
      <c r="B666" t="s">
        <v>1987</v>
      </c>
      <c r="D666">
        <f>SUMIF('FC Jul 2026 - Sistema'!A:A,B666,'FC Jul 2026 - Sistema'!E:E)</f>
        <v>0</v>
      </c>
      <c r="E666">
        <f t="shared" si="10"/>
        <v>0</v>
      </c>
    </row>
    <row r="667" spans="2:5" hidden="1" x14ac:dyDescent="0.35">
      <c r="B667" t="s">
        <v>1781</v>
      </c>
      <c r="C667">
        <v>20</v>
      </c>
      <c r="D667">
        <f>SUMIF('FC Jul 2026 - Sistema'!A:A,B667,'FC Jul 2026 - Sistema'!E:E)</f>
        <v>20</v>
      </c>
      <c r="E667">
        <f t="shared" si="10"/>
        <v>0</v>
      </c>
    </row>
    <row r="668" spans="2:5" hidden="1" x14ac:dyDescent="0.35">
      <c r="B668" t="s">
        <v>1783</v>
      </c>
      <c r="C668">
        <v>10</v>
      </c>
      <c r="D668">
        <f>SUMIF('FC Jul 2026 - Sistema'!A:A,B668,'FC Jul 2026 - Sistema'!E:E)</f>
        <v>10</v>
      </c>
      <c r="E668">
        <f t="shared" si="10"/>
        <v>0</v>
      </c>
    </row>
    <row r="669" spans="2:5" hidden="1" x14ac:dyDescent="0.35">
      <c r="B669" t="s">
        <v>1785</v>
      </c>
      <c r="C669">
        <v>30</v>
      </c>
      <c r="D669">
        <f>SUMIF('FC Jul 2026 - Sistema'!A:A,B669,'FC Jul 2026 - Sistema'!E:E)</f>
        <v>30</v>
      </c>
      <c r="E669">
        <f t="shared" si="10"/>
        <v>0</v>
      </c>
    </row>
    <row r="670" spans="2:5" hidden="1" x14ac:dyDescent="0.35">
      <c r="B670" t="s">
        <v>1787</v>
      </c>
      <c r="D670">
        <f>SUMIF('FC Jul 2026 - Sistema'!A:A,B670,'FC Jul 2026 - Sistema'!E:E)</f>
        <v>0</v>
      </c>
      <c r="E670">
        <f t="shared" si="10"/>
        <v>0</v>
      </c>
    </row>
    <row r="671" spans="2:5" hidden="1" x14ac:dyDescent="0.35">
      <c r="B671" t="s">
        <v>1789</v>
      </c>
      <c r="C671">
        <v>11</v>
      </c>
      <c r="D671">
        <f>SUMIF('FC Jul 2026 - Sistema'!A:A,B671,'FC Jul 2026 - Sistema'!E:E)</f>
        <v>11</v>
      </c>
      <c r="E671">
        <f t="shared" si="10"/>
        <v>0</v>
      </c>
    </row>
    <row r="672" spans="2:5" hidden="1" x14ac:dyDescent="0.35">
      <c r="B672" t="s">
        <v>1791</v>
      </c>
      <c r="D672">
        <f>SUMIF('FC Jul 2026 - Sistema'!A:A,B672,'FC Jul 2026 - Sistema'!E:E)</f>
        <v>0</v>
      </c>
      <c r="E672">
        <f t="shared" si="10"/>
        <v>0</v>
      </c>
    </row>
    <row r="673" spans="2:5" hidden="1" x14ac:dyDescent="0.35">
      <c r="B673" t="s">
        <v>1793</v>
      </c>
      <c r="D673">
        <f>SUMIF('FC Jul 2026 - Sistema'!A:A,B673,'FC Jul 2026 - Sistema'!E:E)</f>
        <v>0</v>
      </c>
      <c r="E673">
        <f t="shared" si="10"/>
        <v>0</v>
      </c>
    </row>
    <row r="674" spans="2:5" hidden="1" x14ac:dyDescent="0.35">
      <c r="B674" t="s">
        <v>1795</v>
      </c>
      <c r="D674">
        <f>SUMIF('FC Jul 2026 - Sistema'!A:A,B674,'FC Jul 2026 - Sistema'!E:E)</f>
        <v>0</v>
      </c>
      <c r="E674">
        <f t="shared" si="10"/>
        <v>0</v>
      </c>
    </row>
    <row r="675" spans="2:5" hidden="1" x14ac:dyDescent="0.35">
      <c r="B675" t="s">
        <v>1797</v>
      </c>
      <c r="C675">
        <v>3</v>
      </c>
      <c r="D675">
        <f>SUMIF('FC Jul 2026 - Sistema'!A:A,B675,'FC Jul 2026 - Sistema'!E:E)</f>
        <v>3</v>
      </c>
      <c r="E675">
        <f t="shared" si="10"/>
        <v>0</v>
      </c>
    </row>
    <row r="676" spans="2:5" hidden="1" x14ac:dyDescent="0.35">
      <c r="B676" t="s">
        <v>1799</v>
      </c>
      <c r="C676">
        <v>5</v>
      </c>
      <c r="D676">
        <f>SUMIF('FC Jul 2026 - Sistema'!A:A,B676,'FC Jul 2026 - Sistema'!E:E)</f>
        <v>5</v>
      </c>
      <c r="E676">
        <f t="shared" si="10"/>
        <v>0</v>
      </c>
    </row>
    <row r="677" spans="2:5" hidden="1" x14ac:dyDescent="0.35">
      <c r="B677" t="s">
        <v>1801</v>
      </c>
      <c r="D677">
        <f>SUMIF('FC Jul 2026 - Sistema'!A:A,B677,'FC Jul 2026 - Sistema'!E:E)</f>
        <v>0</v>
      </c>
      <c r="E677">
        <f t="shared" si="10"/>
        <v>0</v>
      </c>
    </row>
    <row r="678" spans="2:5" hidden="1" x14ac:dyDescent="0.35">
      <c r="B678" t="s">
        <v>1803</v>
      </c>
      <c r="D678">
        <f>SUMIF('FC Jul 2026 - Sistema'!A:A,B678,'FC Jul 2026 - Sistema'!E:E)</f>
        <v>0</v>
      </c>
      <c r="E678">
        <f t="shared" si="10"/>
        <v>0</v>
      </c>
    </row>
    <row r="679" spans="2:5" hidden="1" x14ac:dyDescent="0.35">
      <c r="B679" t="s">
        <v>1805</v>
      </c>
      <c r="D679">
        <f>SUMIF('FC Jul 2026 - Sistema'!A:A,B679,'FC Jul 2026 - Sistema'!E:E)</f>
        <v>0</v>
      </c>
      <c r="E679">
        <f t="shared" si="10"/>
        <v>0</v>
      </c>
    </row>
    <row r="680" spans="2:5" hidden="1" x14ac:dyDescent="0.35">
      <c r="B680" t="s">
        <v>1807</v>
      </c>
      <c r="D680">
        <f>SUMIF('FC Jul 2026 - Sistema'!A:A,B680,'FC Jul 2026 - Sistema'!E:E)</f>
        <v>0</v>
      </c>
      <c r="E680">
        <f t="shared" si="10"/>
        <v>0</v>
      </c>
    </row>
    <row r="681" spans="2:5" hidden="1" x14ac:dyDescent="0.35">
      <c r="B681" t="s">
        <v>1809</v>
      </c>
      <c r="D681">
        <f>SUMIF('FC Jul 2026 - Sistema'!A:A,B681,'FC Jul 2026 - Sistema'!E:E)</f>
        <v>0</v>
      </c>
      <c r="E681">
        <f t="shared" si="10"/>
        <v>0</v>
      </c>
    </row>
    <row r="682" spans="2:5" hidden="1" x14ac:dyDescent="0.35">
      <c r="B682" t="s">
        <v>1811</v>
      </c>
      <c r="C682">
        <v>43</v>
      </c>
      <c r="D682">
        <f>SUMIF('FC Jul 2026 - Sistema'!A:A,B682,'FC Jul 2026 - Sistema'!E:E)</f>
        <v>43</v>
      </c>
      <c r="E682">
        <f t="shared" si="10"/>
        <v>0</v>
      </c>
    </row>
    <row r="683" spans="2:5" hidden="1" x14ac:dyDescent="0.35">
      <c r="B683" t="s">
        <v>1813</v>
      </c>
      <c r="D683">
        <f>SUMIF('FC Jul 2026 - Sistema'!A:A,B683,'FC Jul 2026 - Sistema'!E:E)</f>
        <v>0</v>
      </c>
      <c r="E683">
        <f t="shared" si="10"/>
        <v>0</v>
      </c>
    </row>
    <row r="684" spans="2:5" hidden="1" x14ac:dyDescent="0.35">
      <c r="B684" t="s">
        <v>1815</v>
      </c>
      <c r="D684">
        <f>SUMIF('FC Jul 2026 - Sistema'!A:A,B684,'FC Jul 2026 - Sistema'!E:E)</f>
        <v>0</v>
      </c>
      <c r="E684">
        <f t="shared" si="10"/>
        <v>0</v>
      </c>
    </row>
    <row r="685" spans="2:5" hidden="1" x14ac:dyDescent="0.35">
      <c r="B685" t="s">
        <v>1817</v>
      </c>
      <c r="C685">
        <v>1</v>
      </c>
      <c r="D685">
        <f>SUMIF('FC Jul 2026 - Sistema'!A:A,B685,'FC Jul 2026 - Sistema'!E:E)</f>
        <v>1</v>
      </c>
      <c r="E685">
        <f t="shared" si="10"/>
        <v>0</v>
      </c>
    </row>
    <row r="686" spans="2:5" hidden="1" x14ac:dyDescent="0.35">
      <c r="B686" t="s">
        <v>1819</v>
      </c>
      <c r="D686">
        <f>SUMIF('FC Jul 2026 - Sistema'!A:A,B686,'FC Jul 2026 - Sistema'!E:E)</f>
        <v>0</v>
      </c>
      <c r="E686">
        <f t="shared" si="10"/>
        <v>0</v>
      </c>
    </row>
    <row r="687" spans="2:5" hidden="1" x14ac:dyDescent="0.35">
      <c r="B687" t="s">
        <v>1821</v>
      </c>
      <c r="C687">
        <v>5</v>
      </c>
      <c r="D687">
        <f>SUMIF('FC Jul 2026 - Sistema'!A:A,B687,'FC Jul 2026 - Sistema'!E:E)</f>
        <v>5</v>
      </c>
      <c r="E687">
        <f t="shared" si="10"/>
        <v>0</v>
      </c>
    </row>
    <row r="688" spans="2:5" hidden="1" x14ac:dyDescent="0.35">
      <c r="B688" t="s">
        <v>1823</v>
      </c>
      <c r="C688">
        <v>4</v>
      </c>
      <c r="D688">
        <f>SUMIF('FC Jul 2026 - Sistema'!A:A,B688,'FC Jul 2026 - Sistema'!E:E)</f>
        <v>4</v>
      </c>
      <c r="E688">
        <f t="shared" si="10"/>
        <v>0</v>
      </c>
    </row>
    <row r="689" spans="2:5" hidden="1" x14ac:dyDescent="0.35">
      <c r="B689" t="s">
        <v>1825</v>
      </c>
      <c r="D689">
        <f>SUMIF('FC Jul 2026 - Sistema'!A:A,B689,'FC Jul 2026 - Sistema'!E:E)</f>
        <v>0</v>
      </c>
      <c r="E689">
        <f t="shared" si="10"/>
        <v>0</v>
      </c>
    </row>
    <row r="690" spans="2:5" hidden="1" x14ac:dyDescent="0.35">
      <c r="B690" t="s">
        <v>1827</v>
      </c>
      <c r="C690">
        <v>10</v>
      </c>
      <c r="D690">
        <f>SUMIF('FC Jul 2026 - Sistema'!A:A,B690,'FC Jul 2026 - Sistema'!E:E)</f>
        <v>10</v>
      </c>
      <c r="E690">
        <f t="shared" si="10"/>
        <v>0</v>
      </c>
    </row>
    <row r="691" spans="2:5" hidden="1" x14ac:dyDescent="0.35">
      <c r="B691" t="s">
        <v>1829</v>
      </c>
      <c r="C691">
        <v>4</v>
      </c>
      <c r="D691">
        <f>SUMIF('FC Jul 2026 - Sistema'!A:A,B691,'FC Jul 2026 - Sistema'!E:E)</f>
        <v>4</v>
      </c>
      <c r="E691">
        <f t="shared" si="10"/>
        <v>0</v>
      </c>
    </row>
    <row r="692" spans="2:5" hidden="1" x14ac:dyDescent="0.35">
      <c r="B692" t="s">
        <v>1831</v>
      </c>
      <c r="C692">
        <v>5</v>
      </c>
      <c r="D692">
        <f>SUMIF('FC Jul 2026 - Sistema'!A:A,B692,'FC Jul 2026 - Sistema'!E:E)</f>
        <v>5</v>
      </c>
      <c r="E692">
        <f t="shared" si="10"/>
        <v>0</v>
      </c>
    </row>
    <row r="693" spans="2:5" hidden="1" x14ac:dyDescent="0.35">
      <c r="B693" t="s">
        <v>1833</v>
      </c>
      <c r="C693">
        <v>10</v>
      </c>
      <c r="D693">
        <f>SUMIF('FC Jul 2026 - Sistema'!A:A,B693,'FC Jul 2026 - Sistema'!E:E)</f>
        <v>10</v>
      </c>
      <c r="E693">
        <f t="shared" si="10"/>
        <v>0</v>
      </c>
    </row>
    <row r="694" spans="2:5" hidden="1" x14ac:dyDescent="0.35">
      <c r="B694" t="s">
        <v>1835</v>
      </c>
      <c r="C694">
        <v>6</v>
      </c>
      <c r="D694">
        <f>SUMIF('FC Jul 2026 - Sistema'!A:A,B694,'FC Jul 2026 - Sistema'!E:E)</f>
        <v>6</v>
      </c>
      <c r="E694">
        <f t="shared" si="10"/>
        <v>0</v>
      </c>
    </row>
    <row r="695" spans="2:5" hidden="1" x14ac:dyDescent="0.35">
      <c r="B695" t="s">
        <v>1837</v>
      </c>
      <c r="C695">
        <v>8</v>
      </c>
      <c r="D695">
        <f>SUMIF('FC Jul 2026 - Sistema'!A:A,B695,'FC Jul 2026 - Sistema'!E:E)</f>
        <v>8</v>
      </c>
      <c r="E695">
        <f t="shared" si="10"/>
        <v>0</v>
      </c>
    </row>
    <row r="696" spans="2:5" hidden="1" x14ac:dyDescent="0.35">
      <c r="B696" t="s">
        <v>1839</v>
      </c>
      <c r="D696">
        <f>SUMIF('FC Jul 2026 - Sistema'!A:A,B696,'FC Jul 2026 - Sistema'!E:E)</f>
        <v>0</v>
      </c>
      <c r="E696">
        <f t="shared" si="10"/>
        <v>0</v>
      </c>
    </row>
    <row r="697" spans="2:5" hidden="1" x14ac:dyDescent="0.35">
      <c r="B697" t="s">
        <v>1841</v>
      </c>
      <c r="C697">
        <v>6</v>
      </c>
      <c r="D697">
        <f>SUMIF('FC Jul 2026 - Sistema'!A:A,B697,'FC Jul 2026 - Sistema'!E:E)</f>
        <v>6</v>
      </c>
      <c r="E697">
        <f t="shared" si="10"/>
        <v>0</v>
      </c>
    </row>
    <row r="698" spans="2:5" hidden="1" x14ac:dyDescent="0.35">
      <c r="B698" t="s">
        <v>1843</v>
      </c>
      <c r="D698">
        <f>SUMIF('FC Jul 2026 - Sistema'!A:A,B698,'FC Jul 2026 - Sistema'!E:E)</f>
        <v>0</v>
      </c>
      <c r="E698">
        <f t="shared" si="10"/>
        <v>0</v>
      </c>
    </row>
    <row r="699" spans="2:5" hidden="1" x14ac:dyDescent="0.35">
      <c r="B699" t="s">
        <v>1845</v>
      </c>
      <c r="D699">
        <f>SUMIF('FC Jul 2026 - Sistema'!A:A,B699,'FC Jul 2026 - Sistema'!E:E)</f>
        <v>0</v>
      </c>
      <c r="E699">
        <f t="shared" si="10"/>
        <v>0</v>
      </c>
    </row>
    <row r="700" spans="2:5" hidden="1" x14ac:dyDescent="0.35">
      <c r="B700" t="s">
        <v>1847</v>
      </c>
      <c r="C700">
        <v>11</v>
      </c>
      <c r="D700">
        <f>SUMIF('FC Jul 2026 - Sistema'!A:A,B700,'FC Jul 2026 - Sistema'!E:E)</f>
        <v>11</v>
      </c>
      <c r="E700">
        <f t="shared" si="10"/>
        <v>0</v>
      </c>
    </row>
    <row r="701" spans="2:5" hidden="1" x14ac:dyDescent="0.35">
      <c r="B701" t="s">
        <v>1849</v>
      </c>
      <c r="C701">
        <v>10</v>
      </c>
      <c r="D701">
        <f>SUMIF('FC Jul 2026 - Sistema'!A:A,B701,'FC Jul 2026 - Sistema'!E:E)</f>
        <v>10</v>
      </c>
      <c r="E701">
        <f t="shared" si="10"/>
        <v>0</v>
      </c>
    </row>
    <row r="702" spans="2:5" hidden="1" x14ac:dyDescent="0.35">
      <c r="B702" t="s">
        <v>1851</v>
      </c>
      <c r="C702">
        <v>10</v>
      </c>
      <c r="D702">
        <f>SUMIF('FC Jul 2026 - Sistema'!A:A,B702,'FC Jul 2026 - Sistema'!E:E)</f>
        <v>10</v>
      </c>
      <c r="E702">
        <f t="shared" si="10"/>
        <v>0</v>
      </c>
    </row>
    <row r="703" spans="2:5" hidden="1" x14ac:dyDescent="0.35">
      <c r="B703" t="s">
        <v>1853</v>
      </c>
      <c r="C703">
        <v>7</v>
      </c>
      <c r="D703">
        <f>SUMIF('FC Jul 2026 - Sistema'!A:A,B703,'FC Jul 2026 - Sistema'!E:E)</f>
        <v>7</v>
      </c>
      <c r="E703">
        <f t="shared" si="10"/>
        <v>0</v>
      </c>
    </row>
    <row r="704" spans="2:5" hidden="1" x14ac:dyDescent="0.35">
      <c r="B704" t="s">
        <v>1855</v>
      </c>
      <c r="C704">
        <v>3</v>
      </c>
      <c r="D704">
        <f>SUMIF('FC Jul 2026 - Sistema'!A:A,B704,'FC Jul 2026 - Sistema'!E:E)</f>
        <v>3</v>
      </c>
      <c r="E704">
        <f t="shared" si="10"/>
        <v>0</v>
      </c>
    </row>
    <row r="705" spans="2:5" hidden="1" x14ac:dyDescent="0.35">
      <c r="B705" t="s">
        <v>1857</v>
      </c>
      <c r="C705">
        <v>6</v>
      </c>
      <c r="D705">
        <f>SUMIF('FC Jul 2026 - Sistema'!A:A,B705,'FC Jul 2026 - Sistema'!E:E)</f>
        <v>6</v>
      </c>
      <c r="E705">
        <f t="shared" si="10"/>
        <v>0</v>
      </c>
    </row>
    <row r="706" spans="2:5" hidden="1" x14ac:dyDescent="0.35">
      <c r="B706" t="s">
        <v>1859</v>
      </c>
      <c r="C706">
        <v>57</v>
      </c>
      <c r="D706">
        <f>SUMIF('FC Jul 2026 - Sistema'!A:A,B706,'FC Jul 2026 - Sistema'!E:E)</f>
        <v>57</v>
      </c>
      <c r="E706">
        <f t="shared" si="10"/>
        <v>0</v>
      </c>
    </row>
    <row r="707" spans="2:5" hidden="1" x14ac:dyDescent="0.35">
      <c r="B707" t="s">
        <v>1861</v>
      </c>
      <c r="C707">
        <v>7</v>
      </c>
      <c r="D707">
        <f>SUMIF('FC Jul 2026 - Sistema'!A:A,B707,'FC Jul 2026 - Sistema'!E:E)</f>
        <v>7</v>
      </c>
      <c r="E707">
        <f t="shared" ref="E707:E715" si="11">C707-D707</f>
        <v>0</v>
      </c>
    </row>
    <row r="708" spans="2:5" hidden="1" x14ac:dyDescent="0.35">
      <c r="B708" t="s">
        <v>1863</v>
      </c>
      <c r="C708">
        <v>20</v>
      </c>
      <c r="D708">
        <f>SUMIF('FC Jul 2026 - Sistema'!A:A,B708,'FC Jul 2026 - Sistema'!E:E)</f>
        <v>20</v>
      </c>
      <c r="E708">
        <f t="shared" si="11"/>
        <v>0</v>
      </c>
    </row>
    <row r="709" spans="2:5" hidden="1" x14ac:dyDescent="0.35">
      <c r="B709" t="s">
        <v>1865</v>
      </c>
      <c r="C709">
        <v>15</v>
      </c>
      <c r="D709">
        <f>SUMIF('FC Jul 2026 - Sistema'!A:A,B709,'FC Jul 2026 - Sistema'!E:E)</f>
        <v>15</v>
      </c>
      <c r="E709">
        <f t="shared" si="11"/>
        <v>0</v>
      </c>
    </row>
    <row r="710" spans="2:5" hidden="1" x14ac:dyDescent="0.35">
      <c r="B710" t="s">
        <v>1867</v>
      </c>
      <c r="C710">
        <v>10</v>
      </c>
      <c r="D710">
        <f>SUMIF('FC Jul 2026 - Sistema'!A:A,B710,'FC Jul 2026 - Sistema'!E:E)</f>
        <v>10</v>
      </c>
      <c r="E710">
        <f t="shared" si="11"/>
        <v>0</v>
      </c>
    </row>
    <row r="711" spans="2:5" hidden="1" x14ac:dyDescent="0.35">
      <c r="B711" t="s">
        <v>1869</v>
      </c>
      <c r="C711">
        <v>8</v>
      </c>
      <c r="D711">
        <f>SUMIF('FC Jul 2026 - Sistema'!A:A,B711,'FC Jul 2026 - Sistema'!E:E)</f>
        <v>8</v>
      </c>
      <c r="E711">
        <f t="shared" si="11"/>
        <v>0</v>
      </c>
    </row>
    <row r="712" spans="2:5" hidden="1" x14ac:dyDescent="0.35">
      <c r="B712" t="s">
        <v>1871</v>
      </c>
      <c r="C712">
        <v>6</v>
      </c>
      <c r="D712">
        <f>SUMIF('FC Jul 2026 - Sistema'!A:A,B712,'FC Jul 2026 - Sistema'!E:E)</f>
        <v>6</v>
      </c>
      <c r="E712">
        <f t="shared" si="11"/>
        <v>0</v>
      </c>
    </row>
    <row r="713" spans="2:5" hidden="1" x14ac:dyDescent="0.35">
      <c r="B713" t="s">
        <v>1873</v>
      </c>
      <c r="C713">
        <v>3</v>
      </c>
      <c r="D713">
        <f>SUMIF('FC Jul 2026 - Sistema'!A:A,B713,'FC Jul 2026 - Sistema'!E:E)</f>
        <v>3</v>
      </c>
      <c r="E713">
        <f t="shared" si="11"/>
        <v>0</v>
      </c>
    </row>
    <row r="714" spans="2:5" hidden="1" x14ac:dyDescent="0.35">
      <c r="B714" t="s">
        <v>1875</v>
      </c>
      <c r="D714">
        <f>SUMIF('FC Jul 2026 - Sistema'!A:A,B714,'FC Jul 2026 - Sistema'!E:E)</f>
        <v>0</v>
      </c>
      <c r="E714">
        <f t="shared" si="11"/>
        <v>0</v>
      </c>
    </row>
    <row r="715" spans="2:5" hidden="1" x14ac:dyDescent="0.35">
      <c r="B715" t="s">
        <v>1877</v>
      </c>
      <c r="C715">
        <v>14</v>
      </c>
      <c r="D715">
        <f>SUMIF('FC Jul 2026 - Sistema'!A:A,B715,'FC Jul 2026 - Sistema'!E:E)</f>
        <v>14</v>
      </c>
      <c r="E715">
        <f t="shared" si="11"/>
        <v>0</v>
      </c>
    </row>
  </sheetData>
  <autoFilter ref="B1:E715" xr:uid="{1EC769E6-92CB-48F1-8861-0D75655C57AD}">
    <filterColumn colId="3">
      <filters>
        <filter val="-25"/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FC Jul 2026 - Sistema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ALEX CALDERON PEREZ</cp:lastModifiedBy>
  <dcterms:created xsi:type="dcterms:W3CDTF">2026-06-30T15:42:52Z</dcterms:created>
  <dcterms:modified xsi:type="dcterms:W3CDTF">2026-06-30T17:11:13Z</dcterms:modified>
</cp:coreProperties>
</file>